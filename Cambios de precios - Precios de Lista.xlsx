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nalisis de datos\Estrategia de Pricing\Pricing-Strategy\"/>
    </mc:Choice>
  </mc:AlternateContent>
  <xr:revisionPtr revIDLastSave="0" documentId="13_ncr:1_{B8761010-F9FC-4DB0-B9D1-36F287588D02}" xr6:coauthVersionLast="47" xr6:coauthVersionMax="47" xr10:uidLastSave="{00000000-0000-0000-0000-000000000000}"/>
  <bookViews>
    <workbookView xWindow="1500" yWindow="1500" windowWidth="20736" windowHeight="10656" activeTab="1" xr2:uid="{0C7FA839-C642-4CB6-9D2B-8852A769EDA3}"/>
  </bookViews>
  <sheets>
    <sheet name="Hoja2" sheetId="2" r:id="rId1"/>
    <sheet name="Hoja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2" i="1"/>
  <c r="G11" i="1"/>
  <c r="G9" i="1"/>
  <c r="G6" i="1"/>
  <c r="G8" i="1"/>
  <c r="G7" i="1"/>
  <c r="G13" i="1"/>
  <c r="G12" i="1"/>
  <c r="G10" i="1"/>
  <c r="G29" i="1"/>
  <c r="G22" i="1"/>
  <c r="G16" i="1"/>
  <c r="G14" i="1"/>
  <c r="G21" i="1"/>
  <c r="G26" i="1"/>
  <c r="G17" i="1"/>
  <c r="G15" i="1"/>
  <c r="G19" i="1"/>
  <c r="G20" i="1"/>
  <c r="G23" i="1"/>
  <c r="G24" i="1"/>
  <c r="G25" i="1"/>
  <c r="G27" i="1"/>
  <c r="G18" i="1"/>
  <c r="G28" i="1"/>
  <c r="G45" i="1"/>
  <c r="G32" i="1"/>
  <c r="G37" i="1"/>
  <c r="G42" i="1"/>
  <c r="G34" i="1"/>
  <c r="G43" i="1"/>
  <c r="G30" i="1"/>
  <c r="G46" i="1"/>
  <c r="G38" i="1"/>
  <c r="G31" i="1"/>
  <c r="G35" i="1"/>
  <c r="G40" i="1"/>
  <c r="G44" i="1"/>
  <c r="G39" i="1"/>
  <c r="G41" i="1"/>
  <c r="G36" i="1"/>
  <c r="G33" i="1"/>
  <c r="G52" i="1"/>
  <c r="G50" i="1"/>
  <c r="G48" i="1"/>
  <c r="G58" i="1"/>
  <c r="G53" i="1"/>
  <c r="G51" i="1"/>
  <c r="G47" i="1"/>
  <c r="G59" i="1"/>
  <c r="G56" i="1"/>
  <c r="G49" i="1"/>
  <c r="G57" i="1"/>
  <c r="G60" i="1"/>
  <c r="G55" i="1"/>
  <c r="G54" i="1"/>
  <c r="G62" i="1"/>
  <c r="G66" i="1"/>
  <c r="G70" i="1"/>
  <c r="G61" i="1"/>
  <c r="G71" i="1"/>
  <c r="G63" i="1"/>
  <c r="G65" i="1"/>
  <c r="G68" i="1"/>
  <c r="G64" i="1"/>
  <c r="G69" i="1"/>
  <c r="G67" i="1"/>
  <c r="G87" i="1"/>
  <c r="G81" i="1"/>
  <c r="G74" i="1"/>
  <c r="G73" i="1"/>
  <c r="G77" i="1"/>
  <c r="G82" i="1"/>
  <c r="G88" i="1"/>
  <c r="G75" i="1"/>
  <c r="G89" i="1"/>
  <c r="G72" i="1"/>
  <c r="G76" i="1"/>
  <c r="G85" i="1"/>
  <c r="G83" i="1"/>
  <c r="G78" i="1"/>
  <c r="G84" i="1"/>
  <c r="G86" i="1"/>
  <c r="G79" i="1"/>
  <c r="G80" i="1"/>
  <c r="G96" i="1"/>
  <c r="G91" i="1"/>
  <c r="G115" i="1"/>
  <c r="G104" i="1"/>
  <c r="G101" i="1"/>
  <c r="G94" i="1"/>
  <c r="G92" i="1"/>
  <c r="G109" i="1"/>
  <c r="G102" i="1"/>
  <c r="G97" i="1"/>
  <c r="G116" i="1"/>
  <c r="G105" i="1"/>
  <c r="G119" i="1"/>
  <c r="G103" i="1"/>
  <c r="G110" i="1"/>
  <c r="G93" i="1"/>
  <c r="G95" i="1"/>
  <c r="G108" i="1"/>
  <c r="G98" i="1"/>
  <c r="G99" i="1"/>
  <c r="G106" i="1"/>
  <c r="G118" i="1"/>
  <c r="G112" i="1"/>
  <c r="G107" i="1"/>
  <c r="G100" i="1"/>
  <c r="G111" i="1"/>
  <c r="G113" i="1"/>
  <c r="G90" i="1"/>
  <c r="G120" i="1"/>
  <c r="G114" i="1"/>
  <c r="G117" i="1"/>
  <c r="G5" i="1"/>
</calcChain>
</file>

<file path=xl/sharedStrings.xml><?xml version="1.0" encoding="utf-8"?>
<sst xmlns="http://schemas.openxmlformats.org/spreadsheetml/2006/main" count="528" uniqueCount="274">
  <si>
    <t>PISO</t>
  </si>
  <si>
    <t>Alicanto</t>
  </si>
  <si>
    <t>TIPO 5</t>
  </si>
  <si>
    <t>605</t>
  </si>
  <si>
    <t>405</t>
  </si>
  <si>
    <t>Tipo 3</t>
  </si>
  <si>
    <t>503</t>
  </si>
  <si>
    <t>403</t>
  </si>
  <si>
    <t>Capadocia</t>
  </si>
  <si>
    <t>Torre B</t>
  </si>
  <si>
    <t>BX04 - 78.12 - 3 dorm - Externa</t>
  </si>
  <si>
    <t>B604</t>
  </si>
  <si>
    <t>B504</t>
  </si>
  <si>
    <t>B1204</t>
  </si>
  <si>
    <t>B404</t>
  </si>
  <si>
    <t>B304</t>
  </si>
  <si>
    <t>B904</t>
  </si>
  <si>
    <t>B804</t>
  </si>
  <si>
    <t>BX06 - 65.28 - 3 dorm - Interna</t>
  </si>
  <si>
    <t>B506</t>
  </si>
  <si>
    <t>Edificio Urbanzen</t>
  </si>
  <si>
    <t>TIPO 2</t>
  </si>
  <si>
    <t>1702</t>
  </si>
  <si>
    <t>1102</t>
  </si>
  <si>
    <t>802</t>
  </si>
  <si>
    <t>202</t>
  </si>
  <si>
    <t>Tipo 1</t>
  </si>
  <si>
    <t>1101</t>
  </si>
  <si>
    <t>1401</t>
  </si>
  <si>
    <t>803</t>
  </si>
  <si>
    <t>703</t>
  </si>
  <si>
    <t>903</t>
  </si>
  <si>
    <t>1003</t>
  </si>
  <si>
    <t>1103</t>
  </si>
  <si>
    <t>1203</t>
  </si>
  <si>
    <t>1303</t>
  </si>
  <si>
    <t>1503</t>
  </si>
  <si>
    <t>Tipo 4</t>
  </si>
  <si>
    <t>804</t>
  </si>
  <si>
    <t>1602</t>
  </si>
  <si>
    <t>Fenix</t>
  </si>
  <si>
    <t>Tipo 1E</t>
  </si>
  <si>
    <t>1501</t>
  </si>
  <si>
    <t>701</t>
  </si>
  <si>
    <t>Tipo 2D</t>
  </si>
  <si>
    <t>1002</t>
  </si>
  <si>
    <t>1202</t>
  </si>
  <si>
    <t>Tipo 2E</t>
  </si>
  <si>
    <t>902</t>
  </si>
  <si>
    <t>1302</t>
  </si>
  <si>
    <t>Tipo 3A</t>
  </si>
  <si>
    <t>Tipo 3B</t>
  </si>
  <si>
    <t>Tipo 4A</t>
  </si>
  <si>
    <t>1004</t>
  </si>
  <si>
    <t>604</t>
  </si>
  <si>
    <t>Tipo 4B</t>
  </si>
  <si>
    <t>904</t>
  </si>
  <si>
    <t>1104</t>
  </si>
  <si>
    <t>1304</t>
  </si>
  <si>
    <t>Tipo 5A</t>
  </si>
  <si>
    <t>1005</t>
  </si>
  <si>
    <t>Tipo 5B</t>
  </si>
  <si>
    <t>1105</t>
  </si>
  <si>
    <t>905</t>
  </si>
  <si>
    <t>705</t>
  </si>
  <si>
    <t>Matera</t>
  </si>
  <si>
    <t>Torre A</t>
  </si>
  <si>
    <t>AX01 - 54.57 - 2 dorm - Exterior</t>
  </si>
  <si>
    <t>A201</t>
  </si>
  <si>
    <t>A1201</t>
  </si>
  <si>
    <t>AX02 - 54.57 - 1 dorm - Exterior</t>
  </si>
  <si>
    <t>A1102</t>
  </si>
  <si>
    <t>A902</t>
  </si>
  <si>
    <t>AX03 - 76.85 - 3 dorm - Exterior</t>
  </si>
  <si>
    <t>A603</t>
  </si>
  <si>
    <t>AX04 - 67.60 - 3 dorm - Interna</t>
  </si>
  <si>
    <t>A1204</t>
  </si>
  <si>
    <t>A1004</t>
  </si>
  <si>
    <t>AX07 - 37.75 - 1 dorm - Interna</t>
  </si>
  <si>
    <t>A907</t>
  </si>
  <si>
    <t>A807</t>
  </si>
  <si>
    <t>AX08 - 53.93 - 2 dorm - Interna</t>
  </si>
  <si>
    <t>A1108</t>
  </si>
  <si>
    <t>A808</t>
  </si>
  <si>
    <t>AX09 - 70.63 - 3 dorm - Interna</t>
  </si>
  <si>
    <t>A909</t>
  </si>
  <si>
    <t>A709</t>
  </si>
  <si>
    <t>A609</t>
  </si>
  <si>
    <t>BX01 - 58.04 - 2 dorm - Interna</t>
  </si>
  <si>
    <t>B1201</t>
  </si>
  <si>
    <t>B501</t>
  </si>
  <si>
    <t>BX02 - 55.29 - 2 dorm - Interna</t>
  </si>
  <si>
    <t>B902</t>
  </si>
  <si>
    <t>BX03 - 36.31 - 1 dorm - Interna</t>
  </si>
  <si>
    <t>B1003</t>
  </si>
  <si>
    <t>B903</t>
  </si>
  <si>
    <t>BX04 - 39.50 - 1 dorm - Interna</t>
  </si>
  <si>
    <t>BX05 - 70.28 - 2 dorm - Externa</t>
  </si>
  <si>
    <t>B305</t>
  </si>
  <si>
    <t>B805</t>
  </si>
  <si>
    <t>BX06 - 67.82 - 3 dorm - Externa</t>
  </si>
  <si>
    <t>B1206</t>
  </si>
  <si>
    <t>B806</t>
  </si>
  <si>
    <t>B606</t>
  </si>
  <si>
    <t>Sialia</t>
  </si>
  <si>
    <t>502</t>
  </si>
  <si>
    <t>1604</t>
  </si>
  <si>
    <t>404</t>
  </si>
  <si>
    <t>504</t>
  </si>
  <si>
    <t>Tipo 6A</t>
  </si>
  <si>
    <t>806</t>
  </si>
  <si>
    <t>706</t>
  </si>
  <si>
    <t>Tipo 7</t>
  </si>
  <si>
    <t>807</t>
  </si>
  <si>
    <t>907</t>
  </si>
  <si>
    <t>707</t>
  </si>
  <si>
    <t>Tipo 8A</t>
  </si>
  <si>
    <t>708</t>
  </si>
  <si>
    <t>Tizón y Bueno</t>
  </si>
  <si>
    <t>Tipo 01 - A</t>
  </si>
  <si>
    <t>601</t>
  </si>
  <si>
    <t>401</t>
  </si>
  <si>
    <t>1201</t>
  </si>
  <si>
    <t>801</t>
  </si>
  <si>
    <t>501</t>
  </si>
  <si>
    <t>Tipo 02 - A</t>
  </si>
  <si>
    <t>402</t>
  </si>
  <si>
    <t>702</t>
  </si>
  <si>
    <t>602</t>
  </si>
  <si>
    <t>Tipo 03 - A</t>
  </si>
  <si>
    <t>1403</t>
  </si>
  <si>
    <t>Tipo 04</t>
  </si>
  <si>
    <t>Tipo 05</t>
  </si>
  <si>
    <t>805</t>
  </si>
  <si>
    <t>1305</t>
  </si>
  <si>
    <t>Tipo 06</t>
  </si>
  <si>
    <t>606</t>
  </si>
  <si>
    <t>1006</t>
  </si>
  <si>
    <t>1106</t>
  </si>
  <si>
    <t>Tipo 07</t>
  </si>
  <si>
    <t>307</t>
  </si>
  <si>
    <t>1407</t>
  </si>
  <si>
    <t>1107</t>
  </si>
  <si>
    <t>1207</t>
  </si>
  <si>
    <t>recomendacion</t>
  </si>
  <si>
    <t>Precio por debajo de lo esperado (-3.1%). Considerar SUBIR el precio a aprox. S/ 406,800 (∆ S/ 12,462).</t>
  </si>
  <si>
    <t>Precio por debajo de lo esperado (-3.4%). Considerar SUBIR el precio a aprox. S/ 410,200 (∆ S/ 13,786).</t>
  </si>
  <si>
    <t>Precio por debajo de lo esperado (-3.1%). Considerar SUBIR el precio a aprox. S/ 295,500 (∆ S/ 9,019).</t>
  </si>
  <si>
    <t>Precio por debajo de lo esperado (-3.4%). Considerar SUBIR el precio a aprox. S/ 297,400 (∆ S/ 10,217).</t>
  </si>
  <si>
    <t>Precio por debajo de lo esperado (-3.2%). Considerar SUBIR el precio a aprox. S/ 753,400 (∆ S/ 23,923).</t>
  </si>
  <si>
    <t>Precio por debajo de lo esperado (-3.3%). Considerar SUBIR el precio a aprox. S/ 757,300 (∆ S/ 24,691).</t>
  </si>
  <si>
    <t>Precio por debajo de lo esperado (-3.3%). Considerar SUBIR el precio a aprox. S/ 729,800 (∆ S/ 23,923).</t>
  </si>
  <si>
    <t>Precio por debajo de lo esperado (-3.3%). Considerar SUBIR el precio a aprox. S/ 761,200 (∆ S/ 25,459).</t>
  </si>
  <si>
    <t>Precio por debajo de lo esperado (-3.4%). Considerar SUBIR el precio a aprox. S/ 765,100 (∆ S/ 26,227).</t>
  </si>
  <si>
    <t>Precio por debajo de lo esperado (-3.5%). Considerar SUBIR el precio a aprox. S/ 741,600 (∆ S/ 26,289).</t>
  </si>
  <si>
    <t>Precio por debajo de lo esperado (-3.6%). Considerar SUBIR el precio a aprox. S/ 745,500 (∆ S/ 27,077).</t>
  </si>
  <si>
    <t>Precio por debajo de lo esperado (-3.0%). Considerar SUBIR el precio a aprox. S/ 556,800 (∆ S/ 16,708).</t>
  </si>
  <si>
    <t>Precio por debajo de lo esperado (-7.7%). Considerar SUBIR el precio a aprox. S/ 583,700 (∆ S/ 45,065).</t>
  </si>
  <si>
    <t>Precio por debajo de lo esperado (-8.3%). Considerar SUBIR el precio a aprox. S/ 606,100 (∆ S/ 50,443).</t>
  </si>
  <si>
    <t>Precio por debajo de lo esperado (-8.6%). Considerar SUBIR el precio a aprox. S/ 617,200 (∆ S/ 53,132).</t>
  </si>
  <si>
    <t>Precio por debajo de lo esperado (-9.1%). Considerar SUBIR el precio a aprox. S/ 639,600 (∆ S/ 58,510).</t>
  </si>
  <si>
    <t>Precio por debajo de lo esperado (-3.0%). Considerar SUBIR el precio a aprox. S/ 728,100 (∆ S/ 21,896).</t>
  </si>
  <si>
    <t>Precio por debajo de lo esperado (-3.3%). Considerar SUBIR el precio a aprox. S/ 719,200 (∆ S/ 23,819).</t>
  </si>
  <si>
    <t>Precio por debajo de lo esperado (-3.4%). Considerar SUBIR el precio a aprox. S/ 393,800 (∆ S/ 13,417).</t>
  </si>
  <si>
    <t>Precio por debajo de lo esperado (-5.7%). Considerar SUBIR el precio a aprox. S/ 387,400 (∆ S/ 21,915).</t>
  </si>
  <si>
    <t>Precio por debajo de lo esperado (-7.0%). Considerar SUBIR el precio a aprox. S/ 400,300 (∆ S/ 28,040).</t>
  </si>
  <si>
    <t>Precio por debajo de lo esperado (-8.7%). Considerar SUBIR el precio a aprox. S/ 406,700 (∆ S/ 35,213).</t>
  </si>
  <si>
    <t>Precio por debajo de lo esperado (-13.3%). Considerar SUBIR el precio a aprox. S/ 413,100 (∆ S/ 54,737).</t>
  </si>
  <si>
    <t>Precio por debajo de lo esperado (-15.0%). Considerar SUBIR el precio a aprox. S/ 419,500 (∆ S/ 62,942).</t>
  </si>
  <si>
    <t>Precio por debajo de lo esperado (-16.7%). Considerar SUBIR el precio a aprox. S/ 426,000 (∆ S/ 71,148).</t>
  </si>
  <si>
    <t>Precio por debajo de lo esperado (-17.4%). Considerar SUBIR el precio a aprox. S/ 438,800 (∆ S/ 76,276).</t>
  </si>
  <si>
    <t>Precio por debajo de lo esperado (-7.1%). Considerar SUBIR el precio a aprox. S/ 627,900 (∆ S/ 44,372).</t>
  </si>
  <si>
    <t>Precio por debajo de lo esperado (-10.5%). Considerar SUBIR el precio a aprox. S/ 604,800 (∆ S/ 63,407).</t>
  </si>
  <si>
    <t>Precio por debajo de lo esperado (-3.4%). Considerar SUBIR el precio a aprox. S/ 521,500 (∆ S/ 17,647).</t>
  </si>
  <si>
    <t>Precio por debajo de lo esperado (-4.4%). Considerar SUBIR el precio a aprox. S/ 524,200 (∆ S/ 22,851).</t>
  </si>
  <si>
    <t>Precio por debajo de lo esperado (-4.1%). Considerar SUBIR el precio a aprox. S/ 419,200 (∆ S/ 17,190).</t>
  </si>
  <si>
    <t>Precio por debajo de lo esperado (-4.2%). Considerar SUBIR el precio a aprox. S/ 414,400 (∆ S/ 17,231).</t>
  </si>
  <si>
    <t>Precio por debajo de lo esperado (-3.9%). Considerar SUBIR el precio a aprox. S/ 429,600 (∆ S/ 16,672).</t>
  </si>
  <si>
    <t>Precio por debajo de lo esperado (-5.9%). Considerar SUBIR el precio a aprox. S/ 418,100 (∆ S/ 24,819).</t>
  </si>
  <si>
    <t>Precio por debajo de lo esperado (-7.3%). Considerar SUBIR el precio a aprox. S/ 473,500 (∆ S/ 34,649).</t>
  </si>
  <si>
    <t>Precio por debajo de lo esperado (-3.8%). Considerar SUBIR el precio a aprox. S/ 461,300 (∆ S/ 17,381).</t>
  </si>
  <si>
    <t>Precio por debajo de lo esperado (-6.3%). Considerar SUBIR el precio a aprox. S/ 353,800 (∆ S/ 22,282).</t>
  </si>
  <si>
    <t>Precio por debajo de lo esperado (-9.3%). Considerar SUBIR el precio a aprox. S/ 377,800 (∆ S/ 35,234).</t>
  </si>
  <si>
    <t>Precio por debajo de lo esperado (-3.0%). Considerar SUBIR el precio a aprox. S/ 378,300 (∆ S/ 11,528).</t>
  </si>
  <si>
    <t>Precio por debajo de lo esperado (-6.2%). Considerar SUBIR el precio a aprox. S/ 370,500 (∆ S/ 23,099).</t>
  </si>
  <si>
    <t>Precio por debajo de lo esperado (-9.6%). Considerar SUBIR el precio a aprox. S/ 362,600 (∆ S/ 34,686).</t>
  </si>
  <si>
    <t>Precio por debajo de lo esperado (-4.9%). Considerar SUBIR el precio a aprox. S/ 455,400 (∆ S/ 22,375).</t>
  </si>
  <si>
    <t>Precio por debajo de lo esperado (-3.9%). Considerar SUBIR el precio a aprox. S/ 437,600 (∆ S/ 16,959).</t>
  </si>
  <si>
    <t>Precio por debajo de lo esperado (-4.1%). Considerar SUBIR el precio a aprox. S/ 449,200 (∆ S/ 18,302).</t>
  </si>
  <si>
    <t>Precio por debajo de lo esperado (-7.2%). Considerar SUBIR el precio a aprox. S/ 460,800 (∆ S/ 33,060).</t>
  </si>
  <si>
    <t>Precio por debajo de lo esperado (-6.4%). Considerar SUBIR el precio a aprox. S/ 527,000 (∆ S/ 33,916).</t>
  </si>
  <si>
    <t>Precio por debajo de lo esperado (-7.0%). Considerar SUBIR el precio a aprox. S/ 497,100 (∆ S/ 34,732).</t>
  </si>
  <si>
    <t>Precio por debajo de lo esperado (-5.3%). Considerar SUBIR el precio a aprox. S/ 370,800 (∆ S/ 19,615).</t>
  </si>
  <si>
    <t>Precio por debajo de lo esperado (-6.6%). Considerar SUBIR el precio a aprox. S/ 379,400 (∆ S/ 25,004).</t>
  </si>
  <si>
    <t>Precio por debajo de lo esperado (-8.8%). Considerar SUBIR el precio a aprox. S/ 717,700 (∆ S/ 63,437).</t>
  </si>
  <si>
    <t>Precio por debajo de lo esperado (-5.1%). Considerar SUBIR el precio a aprox. S/ 506,300 (∆ S/ 25,818).</t>
  </si>
  <si>
    <t>Precio por debajo de lo esperado (-7.2%). Considerar SUBIR el precio a aprox. S/ 523,800 (∆ S/ 37,850).</t>
  </si>
  <si>
    <t>Precio por debajo de lo esperado (-4.1%). Considerar SUBIR el precio a aprox. S/ 314,700 (∆ S/ 12,992).</t>
  </si>
  <si>
    <t>Precio por debajo de lo esperado (-6.2%). Considerar SUBIR el precio a aprox. S/ 323,400 (∆ S/ 20,164).</t>
  </si>
  <si>
    <t>Precio por debajo de lo esperado (-7.4%). Considerar SUBIR el precio a aprox. S/ 437,500 (∆ S/ 32,504).</t>
  </si>
  <si>
    <t>Precio por debajo de lo esperado (-8.5%). Considerar SUBIR el precio a aprox. S/ 449,700 (∆ S/ 38,194).</t>
  </si>
  <si>
    <t>Precio por debajo de lo esperado (-9.2%). Considerar SUBIR el precio a aprox. S/ 562,500 (∆ S/ 51,977).</t>
  </si>
  <si>
    <t>Precio por debajo de lo esperado (-9.4%). Considerar SUBIR el precio a aprox. S/ 570,100 (∆ S/ 53,847).</t>
  </si>
  <si>
    <t>Precio por debajo de lo esperado (-9.5%). Considerar SUBIR el precio a aprox. S/ 573,800 (∆ S/ 54,781).</t>
  </si>
  <si>
    <t>Precio por debajo de lo esperado (-12.6%). Considerar SUBIR el precio a aprox. S/ 472,200 (∆ S/ 59,655).</t>
  </si>
  <si>
    <t>Precio por debajo de lo esperado (-14.7%). Considerar SUBIR el precio a aprox. S/ 503,000 (∆ S/ 74,162).</t>
  </si>
  <si>
    <t>Precio por debajo de lo esperado (-10.9%). Considerar SUBIR el precio a aprox. S/ 471,200 (∆ S/ 51,510).</t>
  </si>
  <si>
    <t>Precio por debajo de lo esperado (-3.7%). Considerar SUBIR el precio a aprox. S/ 299,700 (∆ S/ 10,991).</t>
  </si>
  <si>
    <t>Precio por debajo de lo esperado (-5.7%). Considerar SUBIR el precio a aprox. S/ 307,700 (∆ S/ 17,475).</t>
  </si>
  <si>
    <t>Precio por debajo de lo esperado (-7.7%). Considerar SUBIR el precio a aprox. S/ 336,800 (∆ S/ 25,901).</t>
  </si>
  <si>
    <t>Precio por debajo de lo esperado (-10.2%). Considerar SUBIR el precio a aprox. S/ 650,700 (∆ S/ 66,481).</t>
  </si>
  <si>
    <t>Precio por debajo de lo esperado (-11.1%). Considerar SUBIR el precio a aprox. S/ 641,200 (∆ S/ 71,095).</t>
  </si>
  <si>
    <t>Precio por debajo de lo esperado (-6.1%). Considerar SUBIR el precio a aprox. S/ 563,600 (∆ S/ 34,224).</t>
  </si>
  <si>
    <t>Precio por debajo de lo esperado (-6.1%). Considerar SUBIR el precio a aprox. S/ 609,000 (∆ S/ 37,076).</t>
  </si>
  <si>
    <t>Precio por debajo de lo esperado (-8.6%). Considerar SUBIR el precio a aprox. S/ 631,700 (∆ S/ 54,327).</t>
  </si>
  <si>
    <t>Precio por debajo de lo esperado (-6.8%). Considerar SUBIR el precio a aprox. S/ 389,400 (∆ S/ 26,452).</t>
  </si>
  <si>
    <t>Precio por debajo de lo esperado (-8.4%). Considerar SUBIR el precio a aprox. S/ 401,500 (∆ S/ 33,720).</t>
  </si>
  <si>
    <t>Precio por debajo de lo esperado (-10.6%). Considerar SUBIR el precio a aprox. S/ 419,700 (∆ S/ 44,621).</t>
  </si>
  <si>
    <t>Precio por debajo de lo esperado (-4.1%). Considerar SUBIR el precio a aprox. S/ 493,900 (∆ S/ 20,468).</t>
  </si>
  <si>
    <t>Precio por debajo de lo esperado (-5.1%). Considerar SUBIR el precio a aprox. S/ 485,100 (∆ S/ 24,600).</t>
  </si>
  <si>
    <t>Precio por debajo de lo esperado (-9.2%). Considerar SUBIR el precio a aprox. S/ 370,100 (∆ S/ 33,883).</t>
  </si>
  <si>
    <t>Precio por debajo de lo esperado (-9.9%). Considerar SUBIR el precio a aprox. S/ 357,600 (∆ S/ 35,420).</t>
  </si>
  <si>
    <t>Precio por debajo de lo esperado (-12.4%). Considerar SUBIR el precio a aprox. S/ 379,400 (∆ S/ 47,225).</t>
  </si>
  <si>
    <t>Precio por debajo de lo esperado (-3.0%). Considerar SUBIR el precio a aprox. S/ 538,200 (∆ S/ 16,280).</t>
  </si>
  <si>
    <t>Precio por debajo de lo esperado (-3.5%). Considerar SUBIR el precio a aprox. S/ 510,200 (∆ S/ 17,825).</t>
  </si>
  <si>
    <t>Precio por debajo de lo esperado (-4.4%). Considerar SUBIR el precio a aprox. S/ 512,500 (∆ S/ 22,375).</t>
  </si>
  <si>
    <t>Precio por debajo de lo esperado (-4.8%). Considerar SUBIR el precio a aprox. S/ 521,900 (∆ S/ 24,916).</t>
  </si>
  <si>
    <t>Precio por debajo de lo esperado (-3.2%). Considerar SUBIR el precio a aprox. S/ 427,000 (∆ S/ 13,646).</t>
  </si>
  <si>
    <t>Precio por debajo de lo esperado (-4.1%). Considerar SUBIR el precio a aprox. S/ 434,100 (∆ S/ 17,949).</t>
  </si>
  <si>
    <t>Precio por debajo de lo esperado (-5.2%). Considerar SUBIR el precio a aprox. S/ 509,500 (∆ S/ 26,348).</t>
  </si>
  <si>
    <t>Precio por debajo de lo esperado (-5.5%). Considerar SUBIR el precio a aprox. S/ 502,300 (∆ S/ 27,468).</t>
  </si>
  <si>
    <t>Precio por debajo de lo esperado (-5.9%). Considerar SUBIR el precio a aprox. S/ 516,600 (∆ S/ 30,532).</t>
  </si>
  <si>
    <t>Precio por debajo de lo esperado (-3.9%). Considerar SUBIR el precio a aprox. S/ 458,100 (∆ S/ 17,820).</t>
  </si>
  <si>
    <t>Precio por debajo de lo esperado (-3.4%). Considerar SUBIR el precio a aprox. S/ 421,400 (∆ S/ 14,366).</t>
  </si>
  <si>
    <t>Precio por debajo de lo esperado (-4.0%). Considerar SUBIR el precio a aprox. S/ 432,300 (∆ S/ 17,299).</t>
  </si>
  <si>
    <t>Precio por debajo de lo esperado (-4.2%). Considerar SUBIR el precio a aprox. S/ 388,700 (∆ S/ 16,505).</t>
  </si>
  <si>
    <t>Precio por debajo de lo esperado (-4.6%). Considerar SUBIR el precio a aprox. S/ 410,500 (∆ S/ 18,697).</t>
  </si>
  <si>
    <t>Precio por debajo de lo esperado (-4.7%). Considerar SUBIR el precio a aprox. S/ 415,900 (∆ S/ 19,539).</t>
  </si>
  <si>
    <t>Precio por debajo de lo esperado (-7.6%). Considerar SUBIR el precio a aprox. S/ 426,800 (∆ S/ 32,268).</t>
  </si>
  <si>
    <t>Precio por debajo de lo esperado (-4.1%). Considerar SUBIR el precio a aprox. S/ 602,800 (∆ S/ 24,743).</t>
  </si>
  <si>
    <t>Precio por debajo de lo esperado (-4.7%). Considerar SUBIR el precio a aprox. S/ 565,700 (∆ S/ 26,705).</t>
  </si>
  <si>
    <t>Precio por debajo de lo esperado (-7.2%). Considerar SUBIR el precio a aprox. S/ 584,200 (∆ S/ 41,858).</t>
  </si>
  <si>
    <t>Precio por debajo de lo esperado (-8.0%). Considerar SUBIR el precio a aprox. S/ 590,400 (∆ S/ 47,251).</t>
  </si>
  <si>
    <t>Precio por debajo de lo esperado (-8.3%). Considerar SUBIR el precio a aprox. S/ 553,400 (∆ S/ 45,961).</t>
  </si>
  <si>
    <t>Precio por debajo de lo esperado (-9.3%). Considerar SUBIR el precio a aprox. S/ 578,100 (∆ S/ 53,774).</t>
  </si>
  <si>
    <t>Precio por debajo de lo esperado (-10.2%). Considerar SUBIR el precio a aprox. S/ 368,300 (∆ S/ 37,716).</t>
  </si>
  <si>
    <t>Precio por debajo de lo esperado (-12.5%). Considerar SUBIR el precio a aprox. S/ 458,100 (∆ S/ 57,055).</t>
  </si>
  <si>
    <t>Precio por debajo de lo esperado (-4.7%). Considerar SUBIR el precio a aprox. S/ 477,000 (∆ S/ 22,408).</t>
  </si>
  <si>
    <t>Precio por debajo de lo esperado (-7.4%). Considerar SUBIR el precio a aprox. S/ 501,300 (∆ S/ 37,338).</t>
  </si>
  <si>
    <t>Precio por debajo de lo esperado (-7.7%). Considerar SUBIR el precio a aprox. S/ 497,300 (∆ S/ 38,273).</t>
  </si>
  <si>
    <t>Precio por debajo de lo esperado (-8.1%). Considerar SUBIR el precio a aprox. S/ 481,000 (∆ S/ 39,016).</t>
  </si>
  <si>
    <t>Precio por debajo de lo esperado (-8.2%). Considerar SUBIR el precio a aprox. S/ 493,200 (∆ S/ 40,209).</t>
  </si>
  <si>
    <t>Precio por debajo de lo esperado (-3.1%). Considerar SUBIR el precio a aprox. S/ 410,200 (∆ S/ 12,859).</t>
  </si>
  <si>
    <t>Precio por debajo de lo esperado (-3.3%). Considerar SUBIR el precio a aprox. S/ 399,500 (∆ S/ 13,222).</t>
  </si>
  <si>
    <t>Precio por debajo de lo esperado (-4.3%). Considerar SUBIR el precio a aprox. S/ 373,000 (∆ S/ 16,197).</t>
  </si>
  <si>
    <t>Precio por debajo de lo esperado (-7.0%). Considerar SUBIR el precio a aprox. S/ 383,600 (∆ S/ 26,809).</t>
  </si>
  <si>
    <t>Precio por debajo de lo esperado (-3.0%). Considerar SUBIR el precio a aprox. S/ 360,800 (∆ S/ 10,847).</t>
  </si>
  <si>
    <t>Precio por debajo de lo esperado (-4.2%). Considerar SUBIR el precio a aprox. S/ 371,000 (∆ S/ 15,453).</t>
  </si>
  <si>
    <t>Precio por debajo de lo esperado (-8.1%). Considerar SUBIR el precio a aprox. S/ 350,700 (∆ S/ 28,320).</t>
  </si>
  <si>
    <t>Precio por debajo de lo esperado (-8.4%). Considerar SUBIR el precio a aprox. S/ 345,600 (∆ S/ 28,939).</t>
  </si>
  <si>
    <t>Precio por debajo de lo esperado (-4.2%). Considerar SUBIR el precio a aprox. S/ 519,900 (∆ S/ 21,871).</t>
  </si>
  <si>
    <t>Precio por debajo de lo esperado (-5.7%). Considerar SUBIR el precio a aprox. S/ 504,600 (∆ S/ 28,857).</t>
  </si>
  <si>
    <t>Precio por debajo de lo esperado (-5.9%). Considerar SUBIR el precio a aprox. S/ 508,700 (∆ S/ 29,845).</t>
  </si>
  <si>
    <t>Precio por debajo de lo esperado (-11.1%). Considerar SUBIR el precio a aprox. S/ 507,300 (∆ S/ 56,564).</t>
  </si>
  <si>
    <t xml:space="preserve">Aumentar en </t>
  </si>
  <si>
    <t>Proyecto</t>
  </si>
  <si>
    <t>Torre</t>
  </si>
  <si>
    <t>Tipologia</t>
  </si>
  <si>
    <t>Depa</t>
  </si>
  <si>
    <t>Actual</t>
  </si>
  <si>
    <t>Nuevo precio</t>
  </si>
  <si>
    <t>Etiquetas de fila</t>
  </si>
  <si>
    <t>Total general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</si>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</sst>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/>
  </cellXfs>
  <cellStyles count="2">
    <cellStyle name="Moneda" xfId="1" builtinId="4"/>
    <cellStyle name="Normal" xfId="0" builtinId="0"/>
  </cellStyles>
  <dxfs count="26"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515247453703" createdVersion="7" refreshedVersion="7" minRefreshableVersion="3" recordCount="120" xr:uid="{2818DDED-C0C5-410A-BC41-E59AFF1517BC}">
  <cacheSource type="worksheet">
    <worksheetSource ref="A1:I120" sheet="Hoja1"/>
  </cacheSource>
  <cacheFields count="9">
    <cacheField name="Proyecto" numFmtId="0">
      <sharedItems count="8">
        <s v="Alicanto"/>
        <s v="Capadocia"/>
        <s v="Edificio Unique"/>
        <s v="Edificio Urbanzen"/>
        <s v="Fenix"/>
        <s v="Matera"/>
        <s v="Sialia"/>
        <s v="Tizón y Bueno"/>
      </sharedItems>
    </cacheField>
    <cacheField name="Torre" numFmtId="0">
      <sharedItems containsBlank="1"/>
    </cacheField>
    <cacheField name="Tipologia" numFmtId="0">
      <sharedItems containsBlank="1"/>
    </cacheField>
    <cacheField name="Depa" numFmtId="0">
      <sharedItems/>
    </cacheField>
    <cacheField name="PISO" numFmtId="0">
      <sharedItems containsSemiMixedTypes="0" containsString="0" containsNumber="1" containsInteger="1" minValue="2" maxValue="17"/>
    </cacheField>
    <cacheField name="Actual" numFmtId="44">
      <sharedItems containsSemiMixedTypes="0" containsString="0" containsNumber="1" minValue="286477.71000000002" maxValue="738903.98"/>
    </cacheField>
    <cacheField name="Aumentar en " numFmtId="164">
      <sharedItems containsSemiMixedTypes="0" containsString="0" containsNumber="1" minValue="9019.2693333331845" maxValue="76276.359241184371"/>
    </cacheField>
    <cacheField name="Nuevo precio" numFmtId="44">
      <sharedItems containsSemiMixedTypes="0" containsString="0" containsNumber="1" minValue="295496.97933333321" maxValue="765130.81981818145"/>
    </cacheField>
    <cacheField name="recomendac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s v="TIPO 5"/>
    <s v="605"/>
    <n v="6"/>
    <n v="394319.94"/>
    <n v="12462.307142857113"/>
    <n v="406782.24714285712"/>
    <s v="Precio por debajo de lo esperado (-3.1%). Considerar SUBIR el precio a aprox. S/ 406,800 (∆ S/ 12,462)."/>
  </r>
  <r>
    <x v="0"/>
    <m/>
    <s v="TIPO 5"/>
    <s v="405"/>
    <n v="4"/>
    <n v="396445.66"/>
    <n v="13786.401208791242"/>
    <n v="410232.06120879122"/>
    <s v="Precio por debajo de lo esperado (-3.4%). Considerar SUBIR el precio a aprox. S/ 410,200 (∆ S/ 13,786)."/>
  </r>
  <r>
    <x v="0"/>
    <m/>
    <s v="Tipo 3"/>
    <s v="503"/>
    <n v="5"/>
    <n v="286477.71000000002"/>
    <n v="9019.2693333331845"/>
    <n v="295496.97933333321"/>
    <s v="Precio por debajo de lo esperado (-3.1%). Considerar SUBIR el precio a aprox. S/ 295,500 (∆ S/ 9,019)."/>
  </r>
  <r>
    <x v="0"/>
    <m/>
    <s v="Tipo 3"/>
    <s v="403"/>
    <n v="4"/>
    <n v="287219.88"/>
    <n v="10217.200833333307"/>
    <n v="297437.08083333331"/>
    <s v="Precio por debajo de lo esperado (-3.4%). Considerar SUBIR el precio a aprox. S/ 297,400 (∆ S/ 10,217)."/>
  </r>
  <r>
    <x v="1"/>
    <s v="Torre B"/>
    <s v="BX04 - 78.12 - 3 dorm - Externa"/>
    <s v="B604"/>
    <n v="6"/>
    <n v="729430.85"/>
    <n v="23922.940181817743"/>
    <n v="753353.79018181772"/>
    <s v="Precio por debajo de lo esperado (-3.2%). Considerar SUBIR el precio a aprox. S/ 753,400 (∆ S/ 23,923)."/>
  </r>
  <r>
    <x v="1"/>
    <s v="Torre B"/>
    <s v="BX04 - 78.12 - 3 dorm - Externa"/>
    <s v="B504"/>
    <n v="5"/>
    <n v="732588.56"/>
    <n v="24690.906727272202"/>
    <n v="757279.46672727226"/>
    <s v="Precio por debajo de lo esperado (-3.3%). Considerar SUBIR el precio a aprox. S/ 757,300 (∆ S/ 24,691)."/>
  </r>
  <r>
    <x v="1"/>
    <s v="Torre B"/>
    <s v="BX04 - 78.12 - 3 dorm - Externa"/>
    <s v="B1204"/>
    <n v="12"/>
    <n v="705876.34"/>
    <n v="23923.390909090522"/>
    <n v="729799.73090909049"/>
    <s v="Precio por debajo de lo esperado (-3.3%). Considerar SUBIR el precio a aprox. S/ 729,800 (∆ S/ 23,923)."/>
  </r>
  <r>
    <x v="1"/>
    <s v="Torre B"/>
    <s v="BX04 - 78.12 - 3 dorm - Externa"/>
    <s v="B404"/>
    <n v="4"/>
    <n v="735746.27"/>
    <n v="25458.873272726894"/>
    <n v="761205.14327272691"/>
    <s v="Precio por debajo de lo esperado (-3.3%). Considerar SUBIR el precio a aprox. S/ 761,200 (∆ S/ 25,459)."/>
  </r>
  <r>
    <x v="1"/>
    <s v="Torre B"/>
    <s v="BX04 - 78.12 - 3 dorm - Externa"/>
    <s v="B304"/>
    <n v="3"/>
    <n v="738903.98"/>
    <n v="26226.83981818147"/>
    <n v="765130.81981818145"/>
    <s v="Precio por debajo de lo esperado (-3.4%). Considerar SUBIR el precio a aprox. S/ 765,100 (∆ S/ 26,227)."/>
  </r>
  <r>
    <x v="1"/>
    <s v="Torre B"/>
    <s v="BX04 - 78.12 - 3 dorm - Externa"/>
    <s v="B904"/>
    <n v="9"/>
    <n v="715288.03"/>
    <n v="26288.730545454076"/>
    <n v="741576.7605454541"/>
    <s v="Precio por debajo de lo esperado (-3.5%). Considerar SUBIR el precio a aprox. S/ 741,600 (∆ S/ 26,289)."/>
  </r>
  <r>
    <x v="1"/>
    <s v="Torre B"/>
    <s v="BX04 - 78.12 - 3 dorm - Externa"/>
    <s v="B804"/>
    <n v="8"/>
    <n v="718425.25"/>
    <n v="27077.187090908643"/>
    <n v="745502.43709090864"/>
    <s v="Precio por debajo de lo esperado (-3.6%). Considerar SUBIR el precio a aprox. S/ 745,500 (∆ S/ 27,077)."/>
  </r>
  <r>
    <x v="1"/>
    <s v="Torre B"/>
    <s v="BX06 - 65.28 - 3 dorm - Interna"/>
    <s v="B506"/>
    <n v="5"/>
    <n v="540046.6"/>
    <n v="16707.904727272689"/>
    <n v="556754.50472727267"/>
    <s v="Precio por debajo de lo esperado (-3.0%). Considerar SUBIR el precio a aprox. S/ 556,800 (∆ S/ 16,708)."/>
  </r>
  <r>
    <x v="2"/>
    <m/>
    <m/>
    <s v="302"/>
    <n v="3"/>
    <n v="537100"/>
    <n v="17256.190476190299"/>
    <n v="554356.1904761903"/>
    <s v="Precio por debajo de lo esperado (-3.1%). Considerar SUBIR el precio a aprox. S/ 554,400 (∆ S/ 17,256)."/>
  </r>
  <r>
    <x v="3"/>
    <m/>
    <s v="TIPO 2"/>
    <s v="1702"/>
    <n v="17"/>
    <n v="538603.55000000005"/>
    <n v="45065.268512220937"/>
    <n v="583668.81851222098"/>
    <s v="Precio por debajo de lo esperado (-7.7%). Considerar SUBIR el precio a aprox. S/ 583,700 (∆ S/ 45,065)."/>
  </r>
  <r>
    <x v="3"/>
    <m/>
    <s v="TIPO 2"/>
    <s v="1102"/>
    <n v="11"/>
    <n v="555612.07999999996"/>
    <n v="50443.335451647174"/>
    <n v="606055.41545164713"/>
    <s v="Precio por debajo de lo esperado (-8.3%). Considerar SUBIR el precio a aprox. S/ 606,100 (∆ S/ 50,443)."/>
  </r>
  <r>
    <x v="3"/>
    <m/>
    <s v="TIPO 2"/>
    <s v="802"/>
    <n v="8"/>
    <n v="564116.35"/>
    <n v="53132.363921360229"/>
    <n v="617248.71392136021"/>
    <s v="Precio por debajo de lo esperado (-8.6%). Considerar SUBIR el precio a aprox. S/ 617,200 (∆ S/ 53,132)."/>
  </r>
  <r>
    <x v="3"/>
    <m/>
    <s v="TIPO 2"/>
    <s v="202"/>
    <n v="2"/>
    <n v="581124.88"/>
    <n v="58510.43086078635"/>
    <n v="639635.31086078635"/>
    <s v="Precio por debajo de lo esperado (-9.1%). Considerar SUBIR el precio a aprox. S/ 639,600 (∆ S/ 58,510)."/>
  </r>
  <r>
    <x v="3"/>
    <m/>
    <s v="Tipo 1"/>
    <s v="1101"/>
    <n v="11"/>
    <n v="706215.06"/>
    <n v="21895.537350735627"/>
    <n v="728110.59735073568"/>
    <s v="Precio por debajo de lo esperado (-3.0%). Considerar SUBIR el precio a aprox. S/ 728,100 (∆ S/ 21,896)."/>
  </r>
  <r>
    <x v="3"/>
    <m/>
    <s v="Tipo 1"/>
    <s v="1401"/>
    <n v="14"/>
    <n v="695405.65"/>
    <n v="23818.91943349049"/>
    <n v="719224.56943349051"/>
    <s v="Precio por debajo de lo esperado (-3.3%). Considerar SUBIR el precio a aprox. S/ 719,200 (∆ S/ 23,819)."/>
  </r>
  <r>
    <x v="3"/>
    <m/>
    <s v="Tipo 3"/>
    <s v="803"/>
    <n v="8"/>
    <n v="380422.22"/>
    <n v="13417.122211565322"/>
    <n v="393839.34221156529"/>
    <s v="Precio por debajo de lo esperado (-3.4%). Considerar SUBIR el precio a aprox. S/ 393,800 (∆ S/ 13,417)."/>
  </r>
  <r>
    <x v="3"/>
    <m/>
    <s v="Tipo 3"/>
    <s v="703"/>
    <n v="7"/>
    <n v="365501.56"/>
    <n v="21915.351207334024"/>
    <n v="387416.91120733402"/>
    <s v="Precio por debajo de lo esperado (-5.7%). Considerar SUBIR el precio a aprox. S/ 387,400 (∆ S/ 21,915)."/>
  </r>
  <r>
    <x v="3"/>
    <m/>
    <s v="Tipo 3"/>
    <s v="903"/>
    <n v="9"/>
    <n v="372222.22"/>
    <n v="28039.553215796652"/>
    <n v="400261.77321579662"/>
    <s v="Precio por debajo de lo esperado (-7.0%). Considerar SUBIR el precio a aprox. S/ 400,300 (∆ S/ 28,040)."/>
  </r>
  <r>
    <x v="3"/>
    <m/>
    <s v="Tipo 3"/>
    <s v="1003"/>
    <n v="10"/>
    <n v="371471.11"/>
    <n v="35213.09422002791"/>
    <n v="406684.2042200279"/>
    <s v="Precio por debajo de lo esperado (-8.7%). Considerar SUBIR el precio a aprox. S/ 406,700 (∆ S/ 35,213)."/>
  </r>
  <r>
    <x v="3"/>
    <m/>
    <s v="Tipo 3"/>
    <s v="1103"/>
    <n v="11"/>
    <n v="358369.82"/>
    <n v="54736.815224259219"/>
    <n v="413106.63522425923"/>
    <s v="Precio por debajo de lo esperado (-13.3%). Considerar SUBIR el precio a aprox. S/ 413,100 (∆ S/ 54,737)."/>
  </r>
  <r>
    <x v="3"/>
    <m/>
    <s v="Tipo 3"/>
    <s v="1203"/>
    <n v="12"/>
    <n v="356586.89"/>
    <n v="62942.176228490483"/>
    <n v="419529.0662284905"/>
    <s v="Precio por debajo de lo esperado (-15.0%). Considerar SUBIR el precio a aprox. S/ 419,500 (∆ S/ 62,942)."/>
  </r>
  <r>
    <x v="3"/>
    <m/>
    <s v="Tipo 3"/>
    <s v="1303"/>
    <n v="13"/>
    <n v="354803.96"/>
    <n v="71147.537232721807"/>
    <n v="425951.49723272183"/>
    <s v="Precio por debajo de lo esperado (-16.7%). Considerar SUBIR el precio a aprox. S/ 426,000 (∆ S/ 71,148)."/>
  </r>
  <r>
    <x v="3"/>
    <m/>
    <s v="Tipo 3"/>
    <s v="1503"/>
    <n v="15"/>
    <n v="362520"/>
    <n v="76276.359241184371"/>
    <n v="438796.35924118437"/>
    <s v="Precio por debajo de lo esperado (-17.4%). Considerar SUBIR el precio a aprox. S/ 438,800 (∆ S/ 76,276)."/>
  </r>
  <r>
    <x v="3"/>
    <m/>
    <s v="Tipo 4"/>
    <s v="804"/>
    <n v="8"/>
    <n v="583545.68999999994"/>
    <n v="44372.120483516133"/>
    <n v="627917.81048351608"/>
    <s v="Precio por debajo de lo esperado (-7.1%). Considerar SUBIR el precio a aprox. S/ 627,900 (∆ S/ 44,372)."/>
  </r>
  <r>
    <x v="3"/>
    <m/>
    <s v="Tipo 4"/>
    <s v="1602"/>
    <n v="16"/>
    <n v="541438.31000000006"/>
    <n v="63407.175999999396"/>
    <n v="604845.48599999945"/>
    <s v="Precio por debajo de lo esperado (-10.5%). Considerar SUBIR el precio a aprox. S/ 604,800 (∆ S/ 63,407)."/>
  </r>
  <r>
    <x v="4"/>
    <m/>
    <s v="Tipo 1E"/>
    <s v="1501"/>
    <n v="15"/>
    <n v="503842.76"/>
    <n v="17646.627499999711"/>
    <n v="521489.38749999972"/>
    <s v="Precio por debajo de lo esperado (-3.4%). Considerar SUBIR el precio a aprox. S/ 521,500 (∆ S/ 17,647)."/>
  </r>
  <r>
    <x v="4"/>
    <m/>
    <s v="Tipo 1E"/>
    <s v="701"/>
    <n v="7"/>
    <n v="501381.24"/>
    <n v="22851.127499999886"/>
    <n v="524232.36749999988"/>
    <s v="Precio por debajo de lo esperado (-4.4%). Considerar SUBIR el precio a aprox. S/ 524,200 (∆ S/ 22,851)."/>
  </r>
  <r>
    <x v="4"/>
    <m/>
    <s v="Tipo 2D"/>
    <s v="1002"/>
    <n v="10"/>
    <n v="401979.2"/>
    <n v="17189.901538461563"/>
    <n v="419169.10153846157"/>
    <s v="Precio por debajo de lo esperado (-4.1%). Considerar SUBIR el precio a aprox. S/ 419,200 (∆ S/ 17,190)."/>
  </r>
  <r>
    <x v="4"/>
    <m/>
    <s v="Tipo 2D"/>
    <s v="1202"/>
    <n v="12"/>
    <n v="397193.73"/>
    <n v="17230.503461538523"/>
    <n v="414424.2334615385"/>
    <s v="Precio por debajo de lo esperado (-4.2%). Considerar SUBIR el precio a aprox. S/ 414,400 (∆ S/ 17,231)."/>
  </r>
  <r>
    <x v="4"/>
    <m/>
    <s v="Tipo 2E"/>
    <s v="902"/>
    <n v="9"/>
    <n v="412884.78"/>
    <n v="16672.022499999788"/>
    <n v="429556.80249999982"/>
    <s v="Precio por debajo de lo esperado (-3.9%). Considerar SUBIR el precio a aprox. S/ 429,600 (∆ S/ 16,672)."/>
  </r>
  <r>
    <x v="4"/>
    <m/>
    <s v="Tipo 2E"/>
    <s v="1302"/>
    <n v="13"/>
    <n v="393268.9"/>
    <n v="24819.082499999669"/>
    <n v="418087.98249999969"/>
    <s v="Precio por debajo de lo esperado (-5.9%). Considerar SUBIR el precio a aprox. S/ 418,100 (∆ S/ 24,819)."/>
  </r>
  <r>
    <x v="4"/>
    <m/>
    <s v="Tipo 3A"/>
    <s v="403"/>
    <n v="4"/>
    <n v="438806.06"/>
    <n v="34649.185833333293"/>
    <n v="473455.24583333329"/>
    <s v="Precio por debajo de lo esperado (-7.3%). Considerar SUBIR el precio a aprox. S/ 473,500 (∆ S/ 34,649)."/>
  </r>
  <r>
    <x v="4"/>
    <m/>
    <s v="Tipo 3B"/>
    <s v="1503"/>
    <n v="15"/>
    <n v="443916.56"/>
    <n v="17381.04249999969"/>
    <n v="461297.60249999969"/>
    <s v="Precio por debajo de lo esperado (-3.8%). Considerar SUBIR el precio a aprox. S/ 461,300 (∆ S/ 17,381)."/>
  </r>
  <r>
    <x v="4"/>
    <m/>
    <s v="Tipo 4A"/>
    <s v="1004"/>
    <n v="10"/>
    <n v="331550"/>
    <n v="22282.2117857142"/>
    <n v="353832.2117857142"/>
    <s v="Precio por debajo de lo esperado (-6.3%). Considerar SUBIR el precio a aprox. S/ 353,800 (∆ S/ 22,282)."/>
  </r>
  <r>
    <x v="4"/>
    <m/>
    <s v="Tipo 4A"/>
    <s v="604"/>
    <n v="6"/>
    <n v="342581.77"/>
    <n v="35234.294642856985"/>
    <n v="377816.064642857"/>
    <s v="Precio por debajo de lo esperado (-9.3%). Considerar SUBIR el precio a aprox. S/ 377,800 (∆ S/ 35,234)."/>
  </r>
  <r>
    <x v="4"/>
    <m/>
    <s v="Tipo 4B"/>
    <s v="904"/>
    <n v="9"/>
    <n v="366805.19"/>
    <n v="11527.514880952192"/>
    <n v="378332.70488095219"/>
    <s v="Precio por debajo de lo esperado (-3.0%). Considerar SUBIR el precio a aprox. S/ 378,300 (∆ S/ 11,528)."/>
  </r>
  <r>
    <x v="4"/>
    <m/>
    <s v="Tipo 4B"/>
    <s v="1104"/>
    <n v="11"/>
    <n v="347360.89"/>
    <n v="23099.242619047407"/>
    <n v="370460.13261904742"/>
    <s v="Precio por debajo de lo esperado (-6.2%). Considerar SUBIR el precio a aprox. S/ 370,500 (∆ S/ 23,099)."/>
  </r>
  <r>
    <x v="4"/>
    <m/>
    <s v="Tipo 4B"/>
    <s v="1304"/>
    <n v="13"/>
    <n v="327901.11"/>
    <n v="34686.450357142603"/>
    <n v="362587.56035714259"/>
    <s v="Precio por debajo de lo esperado (-9.6%). Considerar SUBIR el precio a aprox. S/ 362,600 (∆ S/ 34,686)."/>
  </r>
  <r>
    <x v="4"/>
    <m/>
    <s v="Tipo 5A"/>
    <s v="1005"/>
    <n v="10"/>
    <n v="433000"/>
    <n v="22375.261666666775"/>
    <n v="455375.26166666677"/>
    <s v="Precio por debajo de lo esperado (-4.9%). Considerar SUBIR el precio a aprox. S/ 455,400 (∆ S/ 22,375)."/>
  </r>
  <r>
    <x v="4"/>
    <m/>
    <s v="Tipo 5B"/>
    <s v="1105"/>
    <n v="11"/>
    <n v="420603.95"/>
    <n v="16959.320952380775"/>
    <n v="437563.27095238079"/>
    <s v="Precio por debajo de lo esperado (-3.9%). Considerar SUBIR el precio a aprox. S/ 437,600 (∆ S/ 16,959)."/>
  </r>
  <r>
    <x v="4"/>
    <m/>
    <s v="Tipo 5B"/>
    <s v="905"/>
    <n v="9"/>
    <n v="430857.33"/>
    <n v="18301.711547618965"/>
    <n v="449159.04154761898"/>
    <s v="Precio por debajo de lo esperado (-4.1%). Considerar SUBIR el precio a aprox. S/ 449,200 (∆ S/ 18,302)."/>
  </r>
  <r>
    <x v="4"/>
    <m/>
    <s v="Tipo 5B"/>
    <s v="705"/>
    <n v="7"/>
    <n v="427694.94"/>
    <n v="33059.872142857115"/>
    <n v="460754.81214285712"/>
    <s v="Precio por debajo de lo esperado (-7.2%). Considerar SUBIR el precio a aprox. S/ 460,800 (∆ S/ 33,060)."/>
  </r>
  <r>
    <x v="5"/>
    <s v="Torre A"/>
    <s v="AX01 - 54.57 - 2 dorm - Exterior"/>
    <s v="A201"/>
    <n v="2"/>
    <n v="493083.36"/>
    <n v="33916.430454545538"/>
    <n v="526999.79045454552"/>
    <s v="Precio por debajo de lo esperado (-6.4%). Considerar SUBIR el precio a aprox. S/ 527,000 (∆ S/ 33,916)."/>
  </r>
  <r>
    <x v="5"/>
    <s v="Torre A"/>
    <s v="AX01 - 54.57 - 2 dorm - Exterior"/>
    <s v="A1201"/>
    <n v="12"/>
    <n v="462402.62"/>
    <n v="34732.373181818228"/>
    <n v="497134.99318181822"/>
    <s v="Precio por debajo de lo esperado (-7.0%). Considerar SUBIR el precio a aprox. S/ 497,100 (∆ S/ 34,732)."/>
  </r>
  <r>
    <x v="5"/>
    <s v="Torre A"/>
    <s v="AX02 - 54.57 - 1 dorm - Exterior"/>
    <s v="A1102"/>
    <n v="11"/>
    <n v="351195.27"/>
    <n v="19615.313272727071"/>
    <n v="370810.58327272709"/>
    <s v="Precio por debajo de lo esperado (-5.3%). Considerar SUBIR el precio a aprox. S/ 370,800 (∆ S/ 19,615)."/>
  </r>
  <r>
    <x v="5"/>
    <s v="Torre A"/>
    <s v="AX02 - 54.57 - 1 dorm - Exterior"/>
    <s v="A902"/>
    <n v="9"/>
    <n v="354432.09"/>
    <n v="25004.324363636202"/>
    <n v="379436.41436363623"/>
    <s v="Precio por debajo de lo esperado (-6.6%). Considerar SUBIR el precio a aprox. S/ 379,400 (∆ S/ 25,004)."/>
  </r>
  <r>
    <x v="5"/>
    <s v="Torre A"/>
    <s v="AX03 - 76.85 - 3 dorm - Exterior"/>
    <s v="A603"/>
    <n v="6"/>
    <n v="654279.93999999994"/>
    <n v="63436.880363636534"/>
    <n v="717716.82036363648"/>
    <s v="Precio por debajo de lo esperado (-8.8%). Considerar SUBIR el precio a aprox. S/ 717,700 (∆ S/ 63,437)."/>
  </r>
  <r>
    <x v="5"/>
    <s v="Torre A"/>
    <s v="AX04 - 67.60 - 3 dorm - Interna"/>
    <s v="A1204"/>
    <n v="12"/>
    <n v="480511.55"/>
    <n v="25817.739545454388"/>
    <n v="506329.28954545438"/>
    <s v="Precio por debajo de lo esperado (-5.1%). Considerar SUBIR el precio a aprox. S/ 506,300 (∆ S/ 25,818)."/>
  </r>
  <r>
    <x v="5"/>
    <s v="Torre A"/>
    <s v="AX04 - 67.60 - 3 dorm - Interna"/>
    <s v="A1004"/>
    <n v="10"/>
    <n v="485941.06"/>
    <n v="37850.054818181728"/>
    <n v="523791.11481818173"/>
    <s v="Precio por debajo de lo esperado (-7.2%). Considerar SUBIR el precio a aprox. S/ 523,800 (∆ S/ 37,850)."/>
  </r>
  <r>
    <x v="5"/>
    <s v="Torre A"/>
    <s v="AX07 - 37.75 - 1 dorm - Interna"/>
    <s v="A907"/>
    <n v="9"/>
    <n v="301685.13"/>
    <n v="12991.675272727094"/>
    <n v="314676.8052727271"/>
    <s v="Precio por debajo de lo esperado (-4.1%). Considerar SUBIR el precio a aprox. S/ 314,700 (∆ S/ 12,992)."/>
  </r>
  <r>
    <x v="5"/>
    <s v="Torre A"/>
    <s v="AX07 - 37.75 - 1 dorm - Interna"/>
    <s v="A807"/>
    <n v="8"/>
    <n v="303201.14"/>
    <n v="20164.335818181571"/>
    <n v="323365.47581818159"/>
    <s v="Precio por debajo de lo esperado (-6.2%). Considerar SUBIR el precio a aprox. S/ 323,400 (∆ S/ 20,164)."/>
  </r>
  <r>
    <x v="5"/>
    <s v="Torre A"/>
    <s v="AX08 - 53.93 - 2 dorm - Interna"/>
    <s v="A1108"/>
    <n v="11"/>
    <n v="405000.82"/>
    <n v="32504.25550116552"/>
    <n v="437505.07550116553"/>
    <s v="Precio por debajo de lo esperado (-7.4%). Considerar SUBIR el precio a aprox. S/ 437,500 (∆ S/ 32,504)."/>
  </r>
  <r>
    <x v="5"/>
    <s v="Torre A"/>
    <s v="AX08 - 53.93 - 2 dorm - Interna"/>
    <s v="A808"/>
    <n v="8"/>
    <n v="411498.16"/>
    <n v="38194.197214452201"/>
    <n v="449692.35721445217"/>
    <s v="Precio por debajo de lo esperado (-8.5%). Considerar SUBIR el precio a aprox. S/ 449,700 (∆ S/ 38,194)."/>
  </r>
  <r>
    <x v="5"/>
    <s v="Torre A"/>
    <s v="AX09 - 70.63 - 3 dorm - Interna"/>
    <s v="A909"/>
    <n v="9"/>
    <n v="510558.59"/>
    <n v="51977.105990675918"/>
    <n v="562535.69599067594"/>
    <s v="Precio por debajo de lo esperado (-9.2%). Considerar SUBIR el precio a aprox. S/ 562,500 (∆ S/ 51,977)."/>
  </r>
  <r>
    <x v="5"/>
    <s v="Torre A"/>
    <s v="AX09 - 70.63 - 3 dorm - Interna"/>
    <s v="A709"/>
    <n v="7"/>
    <n v="516231.46"/>
    <n v="53846.525780885771"/>
    <n v="570077.98578088579"/>
    <s v="Precio por debajo de lo esperado (-9.4%). Considerar SUBIR el precio a aprox. S/ 570,100 (∆ S/ 53,847)."/>
  </r>
  <r>
    <x v="5"/>
    <s v="Torre A"/>
    <s v="AX09 - 70.63 - 3 dorm - Interna"/>
    <s v="A609"/>
    <n v="6"/>
    <n v="519067.9"/>
    <n v="54781.230675990693"/>
    <n v="573849.13067599072"/>
    <s v="Precio por debajo de lo esperado (-9.5%). Considerar SUBIR el precio a aprox. S/ 573,800 (∆ S/ 54,781)."/>
  </r>
  <r>
    <x v="5"/>
    <s v="Torre B"/>
    <s v="BX01 - 58.04 - 2 dorm - Interna"/>
    <s v="B1201"/>
    <n v="12"/>
    <n v="412557.55"/>
    <n v="59655.094790209725"/>
    <n v="472212.64479020971"/>
    <s v="Precio por debajo de lo esperado (-12.6%). Considerar SUBIR el precio a aprox. S/ 472,200 (∆ S/ 59,655)."/>
  </r>
  <r>
    <x v="5"/>
    <s v="Torre B"/>
    <s v="BX01 - 58.04 - 2 dorm - Interna"/>
    <s v="B501"/>
    <n v="5"/>
    <n v="428873.39"/>
    <n v="74161.666783216759"/>
    <n v="503035.05678321677"/>
    <s v="Precio por debajo de lo esperado (-14.7%). Considerar SUBIR el precio a aprox. S/ 503,000 (∆ S/ 74,162)."/>
  </r>
  <r>
    <x v="5"/>
    <s v="Torre B"/>
    <s v="BX02 - 55.29 - 2 dorm - Interna"/>
    <s v="B902"/>
    <n v="9"/>
    <n v="419654.87"/>
    <n v="51510.171620046603"/>
    <n v="471165.0416200466"/>
    <s v="Precio por debajo de lo esperado (-10.9%). Considerar SUBIR el precio a aprox. S/ 471,200 (∆ S/ 51,510)."/>
  </r>
  <r>
    <x v="5"/>
    <s v="Torre B"/>
    <s v="BX03 - 36.31 - 1 dorm - Interna"/>
    <s v="B1003"/>
    <n v="10"/>
    <n v="288718.96000000002"/>
    <n v="10991.364000000001"/>
    <n v="299710.32400000002"/>
    <s v="Precio por debajo de lo esperado (-3.7%). Considerar SUBIR el precio a aprox. S/ 299,700 (∆ S/ 10,991)."/>
  </r>
  <r>
    <x v="5"/>
    <s v="Torre B"/>
    <s v="BX03 - 36.31 - 1 dorm - Interna"/>
    <s v="B903"/>
    <n v="9"/>
    <n v="290177.14"/>
    <n v="17475.471454545506"/>
    <n v="307652.61145454552"/>
    <s v="Precio por debajo de lo esperado (-5.7%). Considerar SUBIR el precio a aprox. S/ 307,700 (∆ S/ 17,475)."/>
  </r>
  <r>
    <x v="5"/>
    <s v="Torre B"/>
    <s v="BX04 - 39.50 - 1 dorm - Interna"/>
    <s v="B1204"/>
    <n v="12"/>
    <n v="310911.68"/>
    <n v="25900.521363636188"/>
    <n v="336812.20136363618"/>
    <s v="Precio por debajo de lo esperado (-7.7%). Considerar SUBIR el precio a aprox. S/ 336,800 (∆ S/ 25,901)."/>
  </r>
  <r>
    <x v="5"/>
    <s v="Torre B"/>
    <s v="BX05 - 70.28 - 2 dorm - Externa"/>
    <s v="B305"/>
    <n v="3"/>
    <n v="584232.85"/>
    <n v="66480.541454545339"/>
    <n v="650713.39145454532"/>
    <s v="Precio por debajo de lo esperado (-10.2%). Considerar SUBIR el precio a aprox. S/ 650,700 (∆ S/ 66,481)."/>
  </r>
  <r>
    <x v="5"/>
    <s v="Torre B"/>
    <s v="BX05 - 70.28 - 2 dorm - Externa"/>
    <s v="B805"/>
    <n v="8"/>
    <n v="570120.93999999994"/>
    <n v="71095.30872727267"/>
    <n v="641216.24872727261"/>
    <s v="Precio por debajo de lo esperado (-11.1%). Considerar SUBIR el precio a aprox. S/ 641,200 (∆ S/ 71,095)."/>
  </r>
  <r>
    <x v="5"/>
    <s v="Torre B"/>
    <s v="BX06 - 67.82 - 3 dorm - Externa"/>
    <s v="B1206"/>
    <n v="12"/>
    <n v="529411.77"/>
    <n v="34223.854545454378"/>
    <n v="563635.6245454544"/>
    <s v="Precio por debajo de lo esperado (-6.1%). Considerar SUBIR el precio a aprox. S/ 563,600 (∆ S/ 34,224)."/>
  </r>
  <r>
    <x v="5"/>
    <s v="Torre B"/>
    <s v="BX06 - 67.82 - 3 dorm - Externa"/>
    <s v="B806"/>
    <n v="8"/>
    <n v="571953.80000000005"/>
    <n v="37076.40563636343"/>
    <n v="609030.20563636348"/>
    <s v="Precio por debajo de lo esperado (-6.1%). Considerar SUBIR el precio a aprox. S/ 609,000 (∆ S/ 37,076)."/>
  </r>
  <r>
    <x v="5"/>
    <s v="Torre B"/>
    <s v="BX06 - 67.82 - 3 dorm - Externa"/>
    <s v="B606"/>
    <n v="6"/>
    <n v="577400.98"/>
    <n v="54326.516181818093"/>
    <n v="631727.49618181807"/>
    <s v="Precio por debajo de lo esperado (-8.6%). Considerar SUBIR el precio a aprox. S/ 631,700 (∆ S/ 54,327)."/>
  </r>
  <r>
    <x v="6"/>
    <m/>
    <s v="TIPO 2"/>
    <s v="1002"/>
    <n v="10"/>
    <n v="362963.33"/>
    <n v="26451.675547619001"/>
    <n v="389415.00554761902"/>
    <s v="Precio por debajo de lo esperado (-6.8%). Considerar SUBIR el precio a aprox. S/ 389,400 (∆ S/ 26,452)."/>
  </r>
  <r>
    <x v="6"/>
    <m/>
    <s v="TIPO 2"/>
    <s v="802"/>
    <n v="8"/>
    <n v="367802.84"/>
    <n v="33719.585119047493"/>
    <n v="401522.42511904752"/>
    <s v="Precio por debajo de lo esperado (-8.4%). Considerar SUBIR el precio a aprox. S/ 401,500 (∆ S/ 33,720)."/>
  </r>
  <r>
    <x v="6"/>
    <m/>
    <s v="TIPO 2"/>
    <s v="502"/>
    <n v="5"/>
    <n v="375062.11"/>
    <n v="44621.444476190314"/>
    <n v="419683.5544761903"/>
    <s v="Precio por debajo de lo esperado (-10.6%). Considerar SUBIR el precio a aprox. S/ 419,700 (∆ S/ 44,621)."/>
  </r>
  <r>
    <x v="6"/>
    <m/>
    <s v="TIPO 5"/>
    <s v="405"/>
    <n v="4"/>
    <n v="473480"/>
    <n v="20468.438499999524"/>
    <n v="493948.43849999952"/>
    <s v="Precio por debajo de lo esperado (-4.1%). Considerar SUBIR el precio a aprox. S/ 493,900 (∆ S/ 20,468)."/>
  </r>
  <r>
    <x v="6"/>
    <m/>
    <s v="TIPO 5"/>
    <s v="605"/>
    <n v="6"/>
    <n v="460521.6"/>
    <n v="24600.359499999613"/>
    <n v="485121.95949999959"/>
    <s v="Precio por debajo de lo esperado (-5.1%). Considerar SUBIR el precio a aprox. S/ 485,100 (∆ S/ 24,600)."/>
  </r>
  <r>
    <x v="6"/>
    <m/>
    <s v="Tipo 3"/>
    <s v="803"/>
    <n v="8"/>
    <n v="336183.33"/>
    <n v="33883.310369047511"/>
    <n v="370066.64036904753"/>
    <s v="Precio por debajo de lo esperado (-9.2%). Considerar SUBIR el precio a aprox. S/ 370,100 (∆ S/ 33,883)."/>
  </r>
  <r>
    <x v="6"/>
    <m/>
    <s v="Tipo 3"/>
    <s v="1203"/>
    <n v="12"/>
    <n v="322222.21999999997"/>
    <n v="35420.128226190456"/>
    <n v="357642.34822619043"/>
    <s v="Precio por debajo de lo esperado (-9.9%). Considerar SUBIR el precio a aprox. S/ 357,600 (∆ S/ 35,420)."/>
  </r>
  <r>
    <x v="6"/>
    <m/>
    <s v="Tipo 3"/>
    <s v="503"/>
    <n v="5"/>
    <n v="332160.28999999998"/>
    <n v="47224.569476190431"/>
    <n v="379384.85947619041"/>
    <s v="Precio por debajo de lo esperado (-12.4%). Considerar SUBIR el precio a aprox. S/ 379,400 (∆ S/ 47,225)."/>
  </r>
  <r>
    <x v="6"/>
    <m/>
    <s v="Tipo 4"/>
    <s v="1604"/>
    <n v="16"/>
    <n v="521951.11"/>
    <n v="16279.858083333471"/>
    <n v="538230.96808333346"/>
    <s v="Precio por debajo de lo esperado (-3.0%). Considerar SUBIR el precio a aprox. S/ 538,200 (∆ S/ 16,280)."/>
  </r>
  <r>
    <x v="6"/>
    <m/>
    <s v="Tipo 4"/>
    <s v="404"/>
    <n v="4"/>
    <n v="492332.54"/>
    <n v="17824.869083333237"/>
    <n v="510157.40908333322"/>
    <s v="Precio por debajo de lo esperado (-3.5%). Considerar SUBIR el precio a aprox. S/ 510,200 (∆ S/ 17,825)."/>
  </r>
  <r>
    <x v="6"/>
    <m/>
    <s v="Tipo 4"/>
    <s v="504"/>
    <n v="5"/>
    <n v="490122.3"/>
    <n v="22374.572333333199"/>
    <n v="512496.87233333319"/>
    <s v="Precio por debajo de lo esperado (-4.4%). Considerar SUBIR el precio a aprox. S/ 512,500 (∆ S/ 22,375)."/>
  </r>
  <r>
    <x v="6"/>
    <m/>
    <s v="Tipo 4"/>
    <s v="904"/>
    <n v="9"/>
    <n v="496938.89"/>
    <n v="24915.835333333293"/>
    <n v="521854.72533333331"/>
    <s v="Precio por debajo de lo esperado (-4.8%). Considerar SUBIR el precio a aprox. S/ 521,900 (∆ S/ 24,916)."/>
  </r>
  <r>
    <x v="6"/>
    <m/>
    <s v="Tipo 6A"/>
    <s v="806"/>
    <n v="8"/>
    <n v="413388.91"/>
    <n v="13645.629605442111"/>
    <n v="427034.53960544209"/>
    <s v="Precio por debajo de lo esperado (-3.2%). Considerar SUBIR el precio a aprox. S/ 427,000 (∆ S/ 13,646)."/>
  </r>
  <r>
    <x v="6"/>
    <m/>
    <s v="Tipo 6A"/>
    <s v="706"/>
    <n v="7"/>
    <n v="416163.33"/>
    <n v="17948.81743537396"/>
    <n v="434112.14743537398"/>
    <s v="Precio por debajo de lo esperado (-4.1%). Considerar SUBIR el precio a aprox. S/ 434,100 (∆ S/ 17,949)."/>
  </r>
  <r>
    <x v="6"/>
    <m/>
    <s v="Tipo 7"/>
    <s v="807"/>
    <n v="8"/>
    <n v="483118.49"/>
    <n v="26348.422441176313"/>
    <n v="509466.9124411763"/>
    <s v="Precio por debajo de lo esperado (-5.2%). Considerar SUBIR el precio a aprox. S/ 509,500 (∆ S/ 26,348)."/>
  </r>
  <r>
    <x v="6"/>
    <m/>
    <s v="Tipo 7"/>
    <s v="907"/>
    <n v="9"/>
    <n v="474870.12"/>
    <n v="27467.669147058681"/>
    <n v="502337.78914705868"/>
    <s v="Precio por debajo de lo esperado (-5.5%). Considerar SUBIR el precio a aprox. S/ 502,300 (∆ S/ 27,468)."/>
  </r>
  <r>
    <x v="6"/>
    <m/>
    <s v="Tipo 7"/>
    <s v="707"/>
    <n v="7"/>
    <n v="486064.33"/>
    <n v="30531.705735293857"/>
    <n v="516596.03573529387"/>
    <s v="Precio por debajo de lo esperado (-5.9%). Considerar SUBIR el precio a aprox. S/ 516,600 (∆ S/ 30,532)."/>
  </r>
  <r>
    <x v="6"/>
    <m/>
    <s v="Tipo 8A"/>
    <s v="708"/>
    <n v="7"/>
    <n v="440314.87"/>
    <n v="17820.345878787921"/>
    <n v="458135.21587878792"/>
    <s v="Precio por debajo de lo esperado (-3.9%). Considerar SUBIR el precio a aprox. S/ 458,100 (∆ S/ 17,820)."/>
  </r>
  <r>
    <x v="7"/>
    <m/>
    <s v="Tipo 01 - A"/>
    <s v="601"/>
    <n v="6"/>
    <n v="407015.56"/>
    <n v="14365.591926470574"/>
    <n v="421381.15192647057"/>
    <s v="Precio por debajo de lo esperado (-3.4%). Considerar SUBIR el precio a aprox. S/ 421,400 (∆ S/ 14,366)."/>
  </r>
  <r>
    <x v="7"/>
    <m/>
    <s v="Tipo 01 - A"/>
    <s v="401"/>
    <n v="4"/>
    <n v="414966.67"/>
    <n v="17298.989455882343"/>
    <n v="432265.65945588233"/>
    <s v="Precio por debajo de lo esperado (-4.0%). Considerar SUBIR el precio a aprox. S/ 432,300 (∆ S/ 17,299)."/>
  </r>
  <r>
    <x v="7"/>
    <m/>
    <s v="Tipo 01 - A"/>
    <s v="1201"/>
    <n v="12"/>
    <n v="372222.22"/>
    <n v="16505.409338235331"/>
    <n v="388727.6293382353"/>
    <s v="Precio por debajo de lo esperado (-4.2%). Considerar SUBIR el precio a aprox. S/ 388,700 (∆ S/ 16,505)."/>
  </r>
  <r>
    <x v="7"/>
    <m/>
    <s v="Tipo 01 - A"/>
    <s v="801"/>
    <n v="8"/>
    <n v="391800"/>
    <n v="18696.644397058815"/>
    <n v="410496.64439705882"/>
    <s v="Precio por debajo de lo esperado (-4.6%). Considerar SUBIR el precio a aprox. S/ 410,500 (∆ S/ 18,697)."/>
  </r>
  <r>
    <x v="7"/>
    <m/>
    <s v="Tipo 01 - A"/>
    <s v="701"/>
    <n v="7"/>
    <n v="396400"/>
    <n v="19538.898161764722"/>
    <n v="415938.89816176472"/>
    <s v="Precio por debajo de lo esperado (-4.7%). Considerar SUBIR el precio a aprox. S/ 415,900 (∆ S/ 19,539)."/>
  </r>
  <r>
    <x v="7"/>
    <m/>
    <s v="Tipo 01 - A"/>
    <s v="501"/>
    <n v="5"/>
    <n v="394555.56"/>
    <n v="32267.845691176422"/>
    <n v="426823.40569117642"/>
    <s v="Precio por debajo de lo esperado (-7.6%). Considerar SUBIR el precio a aprox. S/ 426,800 (∆ S/ 32,268)."/>
  </r>
  <r>
    <x v="7"/>
    <m/>
    <s v="Tipo 02 - A"/>
    <s v="402"/>
    <n v="4"/>
    <n v="578032.22"/>
    <n v="24742.890678571421"/>
    <n v="602775.11067857139"/>
    <s v="Precio por debajo de lo esperado (-4.1%). Considerar SUBIR el precio a aprox. S/ 602,800 (∆ S/ 24,743)."/>
  </r>
  <r>
    <x v="7"/>
    <m/>
    <s v="Tipo 02 - A"/>
    <s v="1002"/>
    <n v="10"/>
    <n v="539017.78"/>
    <n v="26704.975464285701"/>
    <n v="565722.75546428573"/>
    <s v="Precio por debajo de lo esperado (-4.7%). Considerar SUBIR el precio a aprox. S/ 565,700 (∆ S/ 26,705)."/>
  </r>
  <r>
    <x v="7"/>
    <m/>
    <s v="Tipo 02 - A"/>
    <s v="702"/>
    <n v="7"/>
    <n v="542391.11"/>
    <n v="41857.823071428575"/>
    <n v="584248.93307142856"/>
    <s v="Precio por debajo de lo esperado (-7.2%). Considerar SUBIR el precio a aprox. S/ 584,200 (∆ S/ 41,858)."/>
  </r>
  <r>
    <x v="7"/>
    <m/>
    <s v="Tipo 02 - A"/>
    <s v="602"/>
    <n v="6"/>
    <n v="543173.32999999996"/>
    <n v="47250.995607142919"/>
    <n v="590424.32560714288"/>
    <s v="Precio por debajo de lo esperado (-8.0%). Considerar SUBIR el precio a aprox. S/ 590,400 (∆ S/ 47,251)."/>
  </r>
  <r>
    <x v="7"/>
    <m/>
    <s v="Tipo 02 - A"/>
    <s v="1202"/>
    <n v="12"/>
    <n v="507411.11"/>
    <n v="45960.86039285711"/>
    <n v="553371.9703928571"/>
    <s v="Precio por debajo de lo esperado (-8.3%). Considerar SUBIR el precio a aprox. S/ 553,400 (∆ S/ 45,961)."/>
  </r>
  <r>
    <x v="7"/>
    <m/>
    <s v="Tipo 02 - A"/>
    <s v="802"/>
    <n v="8"/>
    <n v="524300"/>
    <n v="53773.540535714244"/>
    <n v="578073.54053571424"/>
    <s v="Precio por debajo de lo esperado (-9.3%). Considerar SUBIR el precio a aprox. S/ 578,100 (∆ S/ 53,774)."/>
  </r>
  <r>
    <x v="7"/>
    <m/>
    <s v="Tipo 03 - A"/>
    <s v="1403"/>
    <n v="14"/>
    <n v="330555.56"/>
    <n v="37716.258165680279"/>
    <n v="368271.81816568028"/>
    <s v="Precio por debajo de lo esperado (-10.2%). Considerar SUBIR el precio a aprox. S/ 368,300 (∆ S/ 37,716)."/>
  </r>
  <r>
    <x v="7"/>
    <m/>
    <s v="Tipo 03 - A"/>
    <s v="703"/>
    <n v="7"/>
    <n v="401000"/>
    <n v="57055.314712210791"/>
    <n v="458055.31471221079"/>
    <s v="Precio por debajo de lo esperado (-12.5%). Considerar SUBIR el precio a aprox. S/ 458,100 (∆ S/ 57,055)."/>
  </r>
  <r>
    <x v="7"/>
    <m/>
    <s v="Tipo 04"/>
    <s v="1004"/>
    <n v="10"/>
    <n v="454543.33"/>
    <n v="22408.043428571371"/>
    <n v="476951.37342857139"/>
    <s v="Precio por debajo de lo esperado (-4.7%). Considerar SUBIR el precio a aprox. S/ 477,000 (∆ S/ 22,408)."/>
  </r>
  <r>
    <x v="7"/>
    <m/>
    <s v="Tipo 04"/>
    <s v="404"/>
    <n v="4"/>
    <n v="464000"/>
    <n v="37337.80085714272"/>
    <n v="501337.80085714272"/>
    <s v="Precio por debajo de lo esperado (-7.4%). Considerar SUBIR el precio a aprox. S/ 501,300 (∆ S/ 37,338)."/>
  </r>
  <r>
    <x v="7"/>
    <m/>
    <s v="Tipo 04"/>
    <s v="504"/>
    <n v="5"/>
    <n v="459000"/>
    <n v="38273.396285714174"/>
    <n v="497273.39628571417"/>
    <s v="Precio por debajo de lo esperado (-7.7%). Considerar SUBIR el precio a aprox. S/ 497,300 (∆ S/ 38,273)."/>
  </r>
  <r>
    <x v="7"/>
    <m/>
    <s v="Tipo 04"/>
    <s v="904"/>
    <n v="9"/>
    <n v="442000"/>
    <n v="39015.777999999875"/>
    <n v="481015.77799999987"/>
    <s v="Precio por debajo de lo esperado (-8.1%). Considerar SUBIR el precio a aprox. S/ 481,000 (∆ S/ 39,016)."/>
  </r>
  <r>
    <x v="7"/>
    <m/>
    <s v="Tipo 04"/>
    <s v="604"/>
    <n v="6"/>
    <n v="453000"/>
    <n v="40208.991714285628"/>
    <n v="493208.99171428563"/>
    <s v="Precio por debajo de lo esperado (-8.2%). Considerar SUBIR el precio a aprox. S/ 493,200 (∆ S/ 40,209)."/>
  </r>
  <r>
    <x v="7"/>
    <m/>
    <s v="Tipo 05"/>
    <s v="605"/>
    <n v="6"/>
    <n v="397300"/>
    <n v="12858.655202380789"/>
    <n v="410158.65520238079"/>
    <s v="Precio por debajo de lo esperado (-3.1%). Considerar SUBIR el precio a aprox. S/ 410,200 (∆ S/ 12,859)."/>
  </r>
  <r>
    <x v="7"/>
    <m/>
    <s v="Tipo 05"/>
    <s v="805"/>
    <n v="8"/>
    <n v="386324.44"/>
    <n v="13222.222845237993"/>
    <n v="399546.662845238"/>
    <s v="Precio por debajo de lo esperado (-3.3%). Considerar SUBIR el precio a aprox. S/ 399,500 (∆ S/ 13,222)."/>
  </r>
  <r>
    <x v="7"/>
    <m/>
    <s v="Tipo 05"/>
    <s v="1305"/>
    <n v="13"/>
    <n v="356820"/>
    <n v="16196.681952380808"/>
    <n v="373016.68195238081"/>
    <s v="Precio por debajo de lo esperado (-4.3%). Considerar SUBIR el precio a aprox. S/ 373,000 (∆ S/ 16,197)."/>
  </r>
  <r>
    <x v="7"/>
    <m/>
    <s v="Tipo 05"/>
    <s v="1105"/>
    <n v="11"/>
    <n v="356820"/>
    <n v="26808.674309523718"/>
    <n v="383628.67430952372"/>
    <s v="Precio por debajo de lo esperado (-7.0%). Considerar SUBIR el precio a aprox. S/ 383,600 (∆ S/ 26,809)."/>
  </r>
  <r>
    <x v="7"/>
    <m/>
    <s v="Tipo 06"/>
    <s v="806"/>
    <n v="8"/>
    <n v="350000"/>
    <n v="10847.357882352779"/>
    <n v="360847.35788235278"/>
    <s v="Precio por debajo de lo esperado (-3.0%). Considerar SUBIR el precio a aprox. S/ 360,800 (∆ S/ 10,847)."/>
  </r>
  <r>
    <x v="7"/>
    <m/>
    <s v="Tipo 06"/>
    <s v="606"/>
    <n v="6"/>
    <n v="355555.56"/>
    <n v="15452.625058823323"/>
    <n v="371008.18505882332"/>
    <s v="Precio por debajo de lo esperado (-4.2%). Considerar SUBIR el precio a aprox. S/ 371,000 (∆ S/ 15,453)."/>
  </r>
  <r>
    <x v="7"/>
    <m/>
    <s v="Tipo 06"/>
    <s v="1006"/>
    <n v="10"/>
    <n v="322366.67"/>
    <n v="28319.860705882194"/>
    <n v="350686.53070588218"/>
    <s v="Precio por debajo de lo esperado (-8.1%). Considerar SUBIR el precio a aprox. S/ 350,700 (∆ S/ 28,320)."/>
  </r>
  <r>
    <x v="7"/>
    <m/>
    <s v="Tipo 06"/>
    <s v="1106"/>
    <n v="11"/>
    <n v="316666.67"/>
    <n v="28939.44711764704"/>
    <n v="345606.11711764702"/>
    <s v="Precio por debajo de lo esperado (-8.4%). Considerar SUBIR el precio a aprox. S/ 345,600 (∆ S/ 28,939)."/>
  </r>
  <r>
    <x v="7"/>
    <m/>
    <s v="Tipo 07"/>
    <s v="307"/>
    <n v="3"/>
    <n v="498000"/>
    <n v="21870.587595237826"/>
    <n v="519870.58759523783"/>
    <s v="Precio por debajo de lo esperado (-4.2%). Considerar SUBIR el precio a aprox. S/ 519,900 (∆ S/ 21,871)."/>
  </r>
  <r>
    <x v="7"/>
    <m/>
    <s v="Tipo 07"/>
    <s v="1407"/>
    <n v="14"/>
    <n v="475700"/>
    <n v="28857.10455952381"/>
    <n v="504557.10455952381"/>
    <s v="Precio por debajo de lo esperado (-5.7%). Considerar SUBIR el precio a aprox. S/ 504,600 (∆ S/ 28,857)."/>
  </r>
  <r>
    <x v="7"/>
    <m/>
    <s v="Tipo 07"/>
    <s v="1107"/>
    <n v="11"/>
    <n v="478888.89"/>
    <n v="29844.619023809384"/>
    <n v="508733.5090238094"/>
    <s v="Precio por debajo de lo esperado (-5.9%). Considerar SUBIR el precio a aprox. S/ 508,700 (∆ S/ 29,845)."/>
  </r>
  <r>
    <x v="7"/>
    <m/>
    <s v="Tipo 07"/>
    <s v="1207"/>
    <n v="12"/>
    <n v="450777.78"/>
    <n v="56563.59420238086"/>
    <n v="507341.37420238089"/>
    <s v="Precio por debajo de lo esperado (-11.1%). Considerar SUBIR el precio a aprox. S/ 507,300 (∆ S/ 56,564)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06584-B5C1-4156-89C9-200ACD24FDF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9">
    <pivotField axis="axisRow" showAll="0">
      <items count="9">
        <item x="0"/>
        <item x="1"/>
        <item h="1"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numFmtId="44" showAll="0"/>
    <pivotField numFmtId="164" showAll="0"/>
    <pivotField numFmtId="44" showAll="0"/>
    <pivotField showAll="0"/>
  </pivotFields>
  <rowFields count="1">
    <field x="0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" fld="2" subtotal="count" baseField="0" baseItem="0"/>
  </dataFields>
  <formats count="26">
    <format dxfId="25">
      <pivotArea field="0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0" type="button" dataOnly="0" labelOnly="1" outline="0" axis="axisRow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8AEA-1458-410C-B7AA-A226EB6F24B1}">
  <dimension ref="A3:B11"/>
  <sheetViews>
    <sheetView workbookViewId="0">
      <selection activeCell="A3" sqref="A3:B11"/>
    </sheetView>
  </sheetViews>
  <sheetFormatPr baseColWidth="10" defaultRowHeight="14.4" x14ac:dyDescent="0.3"/>
  <cols>
    <col min="1" max="1" width="18.77734375" bestFit="1" customWidth="1"/>
    <col min="2" max="2" width="5.21875" bestFit="1" customWidth="1"/>
  </cols>
  <sheetData>
    <row r="3" spans="1:2" x14ac:dyDescent="0.3">
      <c r="A3" s="8" t="s">
        <v>271</v>
      </c>
      <c r="B3" s="8" t="s">
        <v>273</v>
      </c>
    </row>
    <row r="4" spans="1:2" x14ac:dyDescent="0.3">
      <c r="A4" s="9" t="s">
        <v>1</v>
      </c>
      <c r="B4" s="10">
        <v>4</v>
      </c>
    </row>
    <row r="5" spans="1:2" x14ac:dyDescent="0.3">
      <c r="A5" s="9" t="s">
        <v>8</v>
      </c>
      <c r="B5" s="10">
        <v>8</v>
      </c>
    </row>
    <row r="6" spans="1:2" x14ac:dyDescent="0.3">
      <c r="A6" s="9" t="s">
        <v>20</v>
      </c>
      <c r="B6" s="10">
        <v>16</v>
      </c>
    </row>
    <row r="7" spans="1:2" x14ac:dyDescent="0.3">
      <c r="A7" s="9" t="s">
        <v>40</v>
      </c>
      <c r="B7" s="10">
        <v>17</v>
      </c>
    </row>
    <row r="8" spans="1:2" x14ac:dyDescent="0.3">
      <c r="A8" s="9" t="s">
        <v>65</v>
      </c>
      <c r="B8" s="10">
        <v>25</v>
      </c>
    </row>
    <row r="9" spans="1:2" x14ac:dyDescent="0.3">
      <c r="A9" s="9" t="s">
        <v>104</v>
      </c>
      <c r="B9" s="10">
        <v>18</v>
      </c>
    </row>
    <row r="10" spans="1:2" x14ac:dyDescent="0.3">
      <c r="A10" s="9" t="s">
        <v>118</v>
      </c>
      <c r="B10" s="10">
        <v>31</v>
      </c>
    </row>
    <row r="11" spans="1:2" x14ac:dyDescent="0.3">
      <c r="A11" s="8" t="s">
        <v>272</v>
      </c>
      <c r="B11" s="11">
        <v>119</v>
      </c>
    </row>
  </sheetData>
  <pageMargins left="0.7" right="0.7" top="0.75" bottom="0.75" header="0.3" footer="0.3"/>
  <pageSetup paperSize="9" orientation="portrait" horizontalDpi="4294967292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BEE5-F4FE-4C90-9AC2-EC9FAA79E808}">
  <dimension ref="A1:I120"/>
  <sheetViews>
    <sheetView tabSelected="1" workbookViewId="0">
      <pane ySplit="1" topLeftCell="A101" activePane="bottomLeft" state="frozen"/>
      <selection pane="bottomLeft" activeCell="F102" sqref="F102"/>
    </sheetView>
  </sheetViews>
  <sheetFormatPr baseColWidth="10" defaultRowHeight="14.4" x14ac:dyDescent="0.3"/>
  <cols>
    <col min="2" max="2" width="10.21875" customWidth="1"/>
    <col min="5" max="5" width="9.5546875" customWidth="1"/>
    <col min="6" max="6" width="13.44140625" style="1" bestFit="1" customWidth="1"/>
    <col min="7" max="7" width="12.44140625" bestFit="1" customWidth="1"/>
    <col min="8" max="8" width="16.44140625" style="1" bestFit="1" customWidth="1"/>
    <col min="9" max="9" width="0" hidden="1" customWidth="1"/>
  </cols>
  <sheetData>
    <row r="1" spans="1:9" ht="33" customHeight="1" x14ac:dyDescent="0.3">
      <c r="A1" s="6" t="s">
        <v>265</v>
      </c>
      <c r="B1" s="6" t="s">
        <v>266</v>
      </c>
      <c r="C1" s="6" t="s">
        <v>267</v>
      </c>
      <c r="D1" s="6" t="s">
        <v>268</v>
      </c>
      <c r="E1" s="6" t="s">
        <v>0</v>
      </c>
      <c r="F1" s="7" t="s">
        <v>269</v>
      </c>
      <c r="G1" s="6" t="s">
        <v>264</v>
      </c>
      <c r="H1" s="7" t="s">
        <v>270</v>
      </c>
      <c r="I1" s="2" t="s">
        <v>144</v>
      </c>
    </row>
    <row r="2" spans="1:9" x14ac:dyDescent="0.3">
      <c r="A2" s="12" t="s">
        <v>1</v>
      </c>
      <c r="B2" s="12"/>
      <c r="C2" s="12" t="s">
        <v>5</v>
      </c>
      <c r="D2" s="12" t="s">
        <v>7</v>
      </c>
      <c r="E2" s="12">
        <v>4</v>
      </c>
      <c r="F2" s="13">
        <v>287219.88</v>
      </c>
      <c r="G2" s="14">
        <f>H2-F2</f>
        <v>10217.200833333307</v>
      </c>
      <c r="H2" s="13">
        <v>297437.08083333331</v>
      </c>
      <c r="I2" s="3" t="s">
        <v>148</v>
      </c>
    </row>
    <row r="3" spans="1:9" x14ac:dyDescent="0.3">
      <c r="A3" s="12" t="s">
        <v>1</v>
      </c>
      <c r="B3" s="12"/>
      <c r="C3" s="12" t="s">
        <v>2</v>
      </c>
      <c r="D3" s="12" t="s">
        <v>4</v>
      </c>
      <c r="E3" s="12">
        <v>4</v>
      </c>
      <c r="F3" s="13">
        <v>396445.66</v>
      </c>
      <c r="G3" s="14">
        <f>H3-F3</f>
        <v>13786.401208791242</v>
      </c>
      <c r="H3" s="13">
        <v>410232.06120879122</v>
      </c>
      <c r="I3" s="3" t="s">
        <v>146</v>
      </c>
    </row>
    <row r="4" spans="1:9" x14ac:dyDescent="0.3">
      <c r="A4" s="12" t="s">
        <v>1</v>
      </c>
      <c r="B4" s="12"/>
      <c r="C4" s="12" t="s">
        <v>5</v>
      </c>
      <c r="D4" s="12" t="s">
        <v>6</v>
      </c>
      <c r="E4" s="12">
        <v>5</v>
      </c>
      <c r="F4" s="13">
        <v>286477.71000000002</v>
      </c>
      <c r="G4" s="14">
        <f>H4-F4</f>
        <v>9019.2693333331845</v>
      </c>
      <c r="H4" s="13">
        <v>295496.97933333321</v>
      </c>
      <c r="I4" s="3" t="s">
        <v>147</v>
      </c>
    </row>
    <row r="5" spans="1:9" x14ac:dyDescent="0.3">
      <c r="A5" s="12" t="s">
        <v>1</v>
      </c>
      <c r="B5" s="12"/>
      <c r="C5" s="12" t="s">
        <v>2</v>
      </c>
      <c r="D5" s="12" t="s">
        <v>3</v>
      </c>
      <c r="E5" s="12">
        <v>6</v>
      </c>
      <c r="F5" s="13">
        <v>394319.94</v>
      </c>
      <c r="G5" s="14">
        <f>H5-F5</f>
        <v>12462.307142857113</v>
      </c>
      <c r="H5" s="13">
        <v>406782.24714285712</v>
      </c>
      <c r="I5" s="3" t="s">
        <v>145</v>
      </c>
    </row>
    <row r="6" spans="1:9" x14ac:dyDescent="0.3">
      <c r="A6" s="12" t="s">
        <v>8</v>
      </c>
      <c r="B6" s="12" t="s">
        <v>9</v>
      </c>
      <c r="C6" s="12" t="s">
        <v>10</v>
      </c>
      <c r="D6" s="12" t="s">
        <v>13</v>
      </c>
      <c r="E6" s="12">
        <v>12</v>
      </c>
      <c r="F6" s="13">
        <v>705876.34</v>
      </c>
      <c r="G6" s="14">
        <f>H6-F6</f>
        <v>23923.390909090522</v>
      </c>
      <c r="H6" s="13">
        <v>729799.73090909049</v>
      </c>
      <c r="I6" s="3" t="s">
        <v>151</v>
      </c>
    </row>
    <row r="7" spans="1:9" x14ac:dyDescent="0.3">
      <c r="A7" s="12" t="s">
        <v>8</v>
      </c>
      <c r="B7" s="12" t="s">
        <v>9</v>
      </c>
      <c r="C7" s="12" t="s">
        <v>10</v>
      </c>
      <c r="D7" s="12" t="s">
        <v>15</v>
      </c>
      <c r="E7" s="12">
        <v>3</v>
      </c>
      <c r="F7" s="13">
        <v>738903.98</v>
      </c>
      <c r="G7" s="14">
        <f>H7-F7</f>
        <v>26226.83981818147</v>
      </c>
      <c r="H7" s="13">
        <v>765130.81981818145</v>
      </c>
      <c r="I7" s="3" t="s">
        <v>153</v>
      </c>
    </row>
    <row r="8" spans="1:9" x14ac:dyDescent="0.3">
      <c r="A8" s="12" t="s">
        <v>8</v>
      </c>
      <c r="B8" s="12" t="s">
        <v>9</v>
      </c>
      <c r="C8" s="12" t="s">
        <v>10</v>
      </c>
      <c r="D8" s="12" t="s">
        <v>14</v>
      </c>
      <c r="E8" s="12">
        <v>4</v>
      </c>
      <c r="F8" s="13">
        <v>735746.27</v>
      </c>
      <c r="G8" s="14">
        <f>H8-F8</f>
        <v>25458.873272726894</v>
      </c>
      <c r="H8" s="13">
        <v>761205.14327272691</v>
      </c>
      <c r="I8" s="3" t="s">
        <v>152</v>
      </c>
    </row>
    <row r="9" spans="1:9" x14ac:dyDescent="0.3">
      <c r="A9" s="12" t="s">
        <v>8</v>
      </c>
      <c r="B9" s="12" t="s">
        <v>9</v>
      </c>
      <c r="C9" s="12" t="s">
        <v>10</v>
      </c>
      <c r="D9" s="12" t="s">
        <v>12</v>
      </c>
      <c r="E9" s="12">
        <v>5</v>
      </c>
      <c r="F9" s="13">
        <v>732588.56</v>
      </c>
      <c r="G9" s="14">
        <f>H9-F9</f>
        <v>24690.906727272202</v>
      </c>
      <c r="H9" s="13">
        <v>757279.46672727226</v>
      </c>
      <c r="I9" s="3" t="s">
        <v>150</v>
      </c>
    </row>
    <row r="10" spans="1:9" x14ac:dyDescent="0.3">
      <c r="A10" s="12" t="s">
        <v>8</v>
      </c>
      <c r="B10" s="12" t="s">
        <v>9</v>
      </c>
      <c r="C10" s="12" t="s">
        <v>18</v>
      </c>
      <c r="D10" s="12" t="s">
        <v>19</v>
      </c>
      <c r="E10" s="12">
        <v>5</v>
      </c>
      <c r="F10" s="13">
        <v>540046.6</v>
      </c>
      <c r="G10" s="14">
        <f>H10-F10</f>
        <v>16707.904727272689</v>
      </c>
      <c r="H10" s="13">
        <v>556754.50472727267</v>
      </c>
      <c r="I10" s="3" t="s">
        <v>156</v>
      </c>
    </row>
    <row r="11" spans="1:9" x14ac:dyDescent="0.3">
      <c r="A11" s="12" t="s">
        <v>8</v>
      </c>
      <c r="B11" s="12" t="s">
        <v>9</v>
      </c>
      <c r="C11" s="12" t="s">
        <v>10</v>
      </c>
      <c r="D11" s="12" t="s">
        <v>11</v>
      </c>
      <c r="E11" s="12">
        <v>6</v>
      </c>
      <c r="F11" s="13">
        <v>729430.85</v>
      </c>
      <c r="G11" s="14">
        <f>H11-F11</f>
        <v>23922.940181817743</v>
      </c>
      <c r="H11" s="13">
        <v>753353.79018181772</v>
      </c>
      <c r="I11" s="3" t="s">
        <v>149</v>
      </c>
    </row>
    <row r="12" spans="1:9" x14ac:dyDescent="0.3">
      <c r="A12" s="12" t="s">
        <v>8</v>
      </c>
      <c r="B12" s="12" t="s">
        <v>9</v>
      </c>
      <c r="C12" s="12" t="s">
        <v>10</v>
      </c>
      <c r="D12" s="12" t="s">
        <v>17</v>
      </c>
      <c r="E12" s="12">
        <v>8</v>
      </c>
      <c r="F12" s="13">
        <v>718425.25</v>
      </c>
      <c r="G12" s="14">
        <f>H12-F12</f>
        <v>27077.187090908643</v>
      </c>
      <c r="H12" s="13">
        <v>745502.43709090864</v>
      </c>
      <c r="I12" s="3" t="s">
        <v>155</v>
      </c>
    </row>
    <row r="13" spans="1:9" x14ac:dyDescent="0.3">
      <c r="A13" s="12" t="s">
        <v>8</v>
      </c>
      <c r="B13" s="12" t="s">
        <v>9</v>
      </c>
      <c r="C13" s="12" t="s">
        <v>10</v>
      </c>
      <c r="D13" s="12" t="s">
        <v>16</v>
      </c>
      <c r="E13" s="12">
        <v>9</v>
      </c>
      <c r="F13" s="13">
        <v>715288.03</v>
      </c>
      <c r="G13" s="14">
        <f>H13-F13</f>
        <v>26288.730545454076</v>
      </c>
      <c r="H13" s="13">
        <v>741576.7605454541</v>
      </c>
      <c r="I13" s="3" t="s">
        <v>154</v>
      </c>
    </row>
    <row r="14" spans="1:9" x14ac:dyDescent="0.3">
      <c r="A14" s="12" t="s">
        <v>20</v>
      </c>
      <c r="B14" s="12"/>
      <c r="C14" s="12" t="s">
        <v>21</v>
      </c>
      <c r="D14" s="12" t="s">
        <v>25</v>
      </c>
      <c r="E14" s="12">
        <v>2</v>
      </c>
      <c r="F14" s="13">
        <v>581124.88</v>
      </c>
      <c r="G14" s="14">
        <f>H14-F14</f>
        <v>58510.43086078635</v>
      </c>
      <c r="H14" s="13">
        <v>639635.31086078635</v>
      </c>
      <c r="I14" s="3" t="s">
        <v>160</v>
      </c>
    </row>
    <row r="15" spans="1:9" x14ac:dyDescent="0.3">
      <c r="A15" s="12" t="s">
        <v>20</v>
      </c>
      <c r="B15" s="12"/>
      <c r="C15" s="12" t="s">
        <v>5</v>
      </c>
      <c r="D15" s="12" t="s">
        <v>30</v>
      </c>
      <c r="E15" s="12">
        <v>7</v>
      </c>
      <c r="F15" s="13">
        <v>365501.56</v>
      </c>
      <c r="G15" s="14">
        <f>H15-F15</f>
        <v>21915.351207334024</v>
      </c>
      <c r="H15" s="13">
        <v>387416.91120733402</v>
      </c>
      <c r="I15" s="3" t="s">
        <v>164</v>
      </c>
    </row>
    <row r="16" spans="1:9" x14ac:dyDescent="0.3">
      <c r="A16" s="12" t="s">
        <v>20</v>
      </c>
      <c r="B16" s="12"/>
      <c r="C16" s="12" t="s">
        <v>21</v>
      </c>
      <c r="D16" s="12" t="s">
        <v>24</v>
      </c>
      <c r="E16" s="12">
        <v>8</v>
      </c>
      <c r="F16" s="13">
        <v>564116.35</v>
      </c>
      <c r="G16" s="14">
        <f>H16-F16</f>
        <v>53132.363921360229</v>
      </c>
      <c r="H16" s="13">
        <v>617248.71392136021</v>
      </c>
      <c r="I16" s="3" t="s">
        <v>159</v>
      </c>
    </row>
    <row r="17" spans="1:9" x14ac:dyDescent="0.3">
      <c r="A17" s="12" t="s">
        <v>20</v>
      </c>
      <c r="B17" s="12"/>
      <c r="C17" s="12" t="s">
        <v>5</v>
      </c>
      <c r="D17" s="12" t="s">
        <v>29</v>
      </c>
      <c r="E17" s="12">
        <v>8</v>
      </c>
      <c r="F17" s="13">
        <v>380422.22</v>
      </c>
      <c r="G17" s="14">
        <f>H17-F17</f>
        <v>13417.122211565322</v>
      </c>
      <c r="H17" s="13">
        <v>393839.34221156529</v>
      </c>
      <c r="I17" s="3" t="s">
        <v>163</v>
      </c>
    </row>
    <row r="18" spans="1:9" x14ac:dyDescent="0.3">
      <c r="A18" s="12" t="s">
        <v>20</v>
      </c>
      <c r="B18" s="12"/>
      <c r="C18" s="12" t="s">
        <v>37</v>
      </c>
      <c r="D18" s="12" t="s">
        <v>38</v>
      </c>
      <c r="E18" s="12">
        <v>8</v>
      </c>
      <c r="F18" s="13">
        <v>583545.68999999994</v>
      </c>
      <c r="G18" s="14">
        <f>H18-F18</f>
        <v>44372.120483516133</v>
      </c>
      <c r="H18" s="13">
        <v>627917.81048351608</v>
      </c>
      <c r="I18" s="3" t="s">
        <v>171</v>
      </c>
    </row>
    <row r="19" spans="1:9" x14ac:dyDescent="0.3">
      <c r="A19" s="12" t="s">
        <v>20</v>
      </c>
      <c r="B19" s="12"/>
      <c r="C19" s="12" t="s">
        <v>5</v>
      </c>
      <c r="D19" s="12" t="s">
        <v>31</v>
      </c>
      <c r="E19" s="12">
        <v>9</v>
      </c>
      <c r="F19" s="13">
        <v>372222.22</v>
      </c>
      <c r="G19" s="14">
        <f>H19-F19</f>
        <v>28039.553215796652</v>
      </c>
      <c r="H19" s="13">
        <v>400261.77321579662</v>
      </c>
      <c r="I19" s="3" t="s">
        <v>165</v>
      </c>
    </row>
    <row r="20" spans="1:9" x14ac:dyDescent="0.3">
      <c r="A20" s="12" t="s">
        <v>20</v>
      </c>
      <c r="B20" s="12"/>
      <c r="C20" s="12" t="s">
        <v>5</v>
      </c>
      <c r="D20" s="12" t="s">
        <v>32</v>
      </c>
      <c r="E20" s="12">
        <v>10</v>
      </c>
      <c r="F20" s="13">
        <v>371471.11</v>
      </c>
      <c r="G20" s="14">
        <f>H20-F20</f>
        <v>35213.09422002791</v>
      </c>
      <c r="H20" s="13">
        <v>406684.2042200279</v>
      </c>
      <c r="I20" s="3" t="s">
        <v>166</v>
      </c>
    </row>
    <row r="21" spans="1:9" x14ac:dyDescent="0.3">
      <c r="A21" s="12" t="s">
        <v>20</v>
      </c>
      <c r="B21" s="12"/>
      <c r="C21" s="12" t="s">
        <v>26</v>
      </c>
      <c r="D21" s="12" t="s">
        <v>27</v>
      </c>
      <c r="E21" s="12">
        <v>11</v>
      </c>
      <c r="F21" s="13">
        <v>706215.06</v>
      </c>
      <c r="G21" s="14">
        <f>H21-F21</f>
        <v>21895.537350735627</v>
      </c>
      <c r="H21" s="13">
        <v>728110.59735073568</v>
      </c>
      <c r="I21" s="3" t="s">
        <v>161</v>
      </c>
    </row>
    <row r="22" spans="1:9" x14ac:dyDescent="0.3">
      <c r="A22" s="12" t="s">
        <v>20</v>
      </c>
      <c r="B22" s="12"/>
      <c r="C22" s="12" t="s">
        <v>21</v>
      </c>
      <c r="D22" s="12" t="s">
        <v>23</v>
      </c>
      <c r="E22" s="12">
        <v>11</v>
      </c>
      <c r="F22" s="13">
        <v>555612.07999999996</v>
      </c>
      <c r="G22" s="14">
        <f>H22-F22</f>
        <v>50443.335451647174</v>
      </c>
      <c r="H22" s="13">
        <v>606055.41545164713</v>
      </c>
      <c r="I22" s="3" t="s">
        <v>158</v>
      </c>
    </row>
    <row r="23" spans="1:9" x14ac:dyDescent="0.3">
      <c r="A23" s="12" t="s">
        <v>20</v>
      </c>
      <c r="B23" s="12"/>
      <c r="C23" s="12" t="s">
        <v>5</v>
      </c>
      <c r="D23" s="12" t="s">
        <v>33</v>
      </c>
      <c r="E23" s="12">
        <v>11</v>
      </c>
      <c r="F23" s="13">
        <v>358369.82</v>
      </c>
      <c r="G23" s="14">
        <f>H23-F23</f>
        <v>54736.815224259219</v>
      </c>
      <c r="H23" s="13">
        <v>413106.63522425923</v>
      </c>
      <c r="I23" s="3" t="s">
        <v>167</v>
      </c>
    </row>
    <row r="24" spans="1:9" x14ac:dyDescent="0.3">
      <c r="A24" s="12" t="s">
        <v>20</v>
      </c>
      <c r="B24" s="12"/>
      <c r="C24" s="12" t="s">
        <v>5</v>
      </c>
      <c r="D24" s="12" t="s">
        <v>34</v>
      </c>
      <c r="E24" s="12">
        <v>12</v>
      </c>
      <c r="F24" s="13">
        <v>356586.89</v>
      </c>
      <c r="G24" s="14">
        <f>H24-F24</f>
        <v>62942.176228490483</v>
      </c>
      <c r="H24" s="13">
        <v>419529.0662284905</v>
      </c>
      <c r="I24" s="3" t="s">
        <v>168</v>
      </c>
    </row>
    <row r="25" spans="1:9" x14ac:dyDescent="0.3">
      <c r="A25" s="12" t="s">
        <v>20</v>
      </c>
      <c r="B25" s="12"/>
      <c r="C25" s="12" t="s">
        <v>5</v>
      </c>
      <c r="D25" s="12" t="s">
        <v>35</v>
      </c>
      <c r="E25" s="12">
        <v>13</v>
      </c>
      <c r="F25" s="13">
        <v>354803.96</v>
      </c>
      <c r="G25" s="14">
        <f>H25-F25</f>
        <v>71147.537232721807</v>
      </c>
      <c r="H25" s="13">
        <v>425951.49723272183</v>
      </c>
      <c r="I25" s="3" t="s">
        <v>169</v>
      </c>
    </row>
    <row r="26" spans="1:9" x14ac:dyDescent="0.3">
      <c r="A26" s="12" t="s">
        <v>20</v>
      </c>
      <c r="B26" s="12"/>
      <c r="C26" s="12" t="s">
        <v>26</v>
      </c>
      <c r="D26" s="12" t="s">
        <v>28</v>
      </c>
      <c r="E26" s="12">
        <v>14</v>
      </c>
      <c r="F26" s="13">
        <v>695405.65</v>
      </c>
      <c r="G26" s="14">
        <f>H26-F26</f>
        <v>23818.91943349049</v>
      </c>
      <c r="H26" s="13">
        <v>719224.56943349051</v>
      </c>
      <c r="I26" s="3" t="s">
        <v>162</v>
      </c>
    </row>
    <row r="27" spans="1:9" x14ac:dyDescent="0.3">
      <c r="A27" s="12" t="s">
        <v>20</v>
      </c>
      <c r="B27" s="12"/>
      <c r="C27" s="12" t="s">
        <v>5</v>
      </c>
      <c r="D27" s="12" t="s">
        <v>36</v>
      </c>
      <c r="E27" s="12">
        <v>15</v>
      </c>
      <c r="F27" s="13">
        <v>362520</v>
      </c>
      <c r="G27" s="14">
        <f>H27-F27</f>
        <v>76276.359241184371</v>
      </c>
      <c r="H27" s="13">
        <v>438796.35924118437</v>
      </c>
      <c r="I27" s="3" t="s">
        <v>170</v>
      </c>
    </row>
    <row r="28" spans="1:9" x14ac:dyDescent="0.3">
      <c r="A28" s="12" t="s">
        <v>20</v>
      </c>
      <c r="B28" s="12"/>
      <c r="C28" s="12" t="s">
        <v>37</v>
      </c>
      <c r="D28" s="12" t="s">
        <v>39</v>
      </c>
      <c r="E28" s="12">
        <v>16</v>
      </c>
      <c r="F28" s="13">
        <v>541438.31000000006</v>
      </c>
      <c r="G28" s="14">
        <f>H28-F28</f>
        <v>63407.175999999396</v>
      </c>
      <c r="H28" s="13">
        <v>604845.48599999945</v>
      </c>
      <c r="I28" s="3" t="s">
        <v>172</v>
      </c>
    </row>
    <row r="29" spans="1:9" x14ac:dyDescent="0.3">
      <c r="A29" s="12" t="s">
        <v>20</v>
      </c>
      <c r="B29" s="12"/>
      <c r="C29" s="12" t="s">
        <v>21</v>
      </c>
      <c r="D29" s="12" t="s">
        <v>22</v>
      </c>
      <c r="E29" s="12">
        <v>17</v>
      </c>
      <c r="F29" s="13">
        <v>538603.55000000005</v>
      </c>
      <c r="G29" s="14">
        <f>H29-F29</f>
        <v>45065.268512220937</v>
      </c>
      <c r="H29" s="13">
        <v>583668.81851222098</v>
      </c>
      <c r="I29" s="3" t="s">
        <v>157</v>
      </c>
    </row>
    <row r="30" spans="1:9" x14ac:dyDescent="0.3">
      <c r="A30" s="12" t="s">
        <v>40</v>
      </c>
      <c r="B30" s="12"/>
      <c r="C30" s="12" t="s">
        <v>50</v>
      </c>
      <c r="D30" s="12" t="s">
        <v>7</v>
      </c>
      <c r="E30" s="12">
        <v>4</v>
      </c>
      <c r="F30" s="13">
        <v>438806.06</v>
      </c>
      <c r="G30" s="14">
        <f>H30-F30</f>
        <v>34649.185833333293</v>
      </c>
      <c r="H30" s="13">
        <v>473455.24583333329</v>
      </c>
      <c r="I30" s="3" t="s">
        <v>179</v>
      </c>
    </row>
    <row r="31" spans="1:9" x14ac:dyDescent="0.3">
      <c r="A31" s="12" t="s">
        <v>40</v>
      </c>
      <c r="B31" s="12"/>
      <c r="C31" s="12" t="s">
        <v>52</v>
      </c>
      <c r="D31" s="12" t="s">
        <v>54</v>
      </c>
      <c r="E31" s="12">
        <v>6</v>
      </c>
      <c r="F31" s="13">
        <v>342581.77</v>
      </c>
      <c r="G31" s="14">
        <f>H31-F31</f>
        <v>35234.294642856985</v>
      </c>
      <c r="H31" s="13">
        <v>377816.064642857</v>
      </c>
      <c r="I31" s="3" t="s">
        <v>182</v>
      </c>
    </row>
    <row r="32" spans="1:9" x14ac:dyDescent="0.3">
      <c r="A32" s="12" t="s">
        <v>40</v>
      </c>
      <c r="B32" s="12"/>
      <c r="C32" s="12" t="s">
        <v>41</v>
      </c>
      <c r="D32" s="12" t="s">
        <v>43</v>
      </c>
      <c r="E32" s="12">
        <v>7</v>
      </c>
      <c r="F32" s="13">
        <v>501381.24</v>
      </c>
      <c r="G32" s="14">
        <f>H32-F32</f>
        <v>22851.127499999886</v>
      </c>
      <c r="H32" s="13">
        <v>524232.36749999988</v>
      </c>
      <c r="I32" s="3" t="s">
        <v>174</v>
      </c>
    </row>
    <row r="33" spans="1:9" x14ac:dyDescent="0.3">
      <c r="A33" s="12" t="s">
        <v>40</v>
      </c>
      <c r="B33" s="12"/>
      <c r="C33" s="12" t="s">
        <v>61</v>
      </c>
      <c r="D33" s="12" t="s">
        <v>64</v>
      </c>
      <c r="E33" s="12">
        <v>7</v>
      </c>
      <c r="F33" s="13">
        <v>427694.94</v>
      </c>
      <c r="G33" s="14">
        <f>H33-F33</f>
        <v>33059.872142857115</v>
      </c>
      <c r="H33" s="13">
        <v>460754.81214285712</v>
      </c>
      <c r="I33" s="3" t="s">
        <v>189</v>
      </c>
    </row>
    <row r="34" spans="1:9" x14ac:dyDescent="0.3">
      <c r="A34" s="12" t="s">
        <v>40</v>
      </c>
      <c r="B34" s="12"/>
      <c r="C34" s="12" t="s">
        <v>47</v>
      </c>
      <c r="D34" s="12" t="s">
        <v>48</v>
      </c>
      <c r="E34" s="12">
        <v>9</v>
      </c>
      <c r="F34" s="13">
        <v>412884.78</v>
      </c>
      <c r="G34" s="14">
        <f>H34-F34</f>
        <v>16672.022499999788</v>
      </c>
      <c r="H34" s="13">
        <v>429556.80249999982</v>
      </c>
      <c r="I34" s="3" t="s">
        <v>177</v>
      </c>
    </row>
    <row r="35" spans="1:9" x14ac:dyDescent="0.3">
      <c r="A35" s="12" t="s">
        <v>40</v>
      </c>
      <c r="B35" s="12"/>
      <c r="C35" s="12" t="s">
        <v>55</v>
      </c>
      <c r="D35" s="12" t="s">
        <v>56</v>
      </c>
      <c r="E35" s="12">
        <v>9</v>
      </c>
      <c r="F35" s="13">
        <v>366805.19</v>
      </c>
      <c r="G35" s="14">
        <f>H35-F35</f>
        <v>11527.514880952192</v>
      </c>
      <c r="H35" s="13">
        <v>378332.70488095219</v>
      </c>
      <c r="I35" s="3" t="s">
        <v>183</v>
      </c>
    </row>
    <row r="36" spans="1:9" x14ac:dyDescent="0.3">
      <c r="A36" s="12" t="s">
        <v>40</v>
      </c>
      <c r="B36" s="12"/>
      <c r="C36" s="12" t="s">
        <v>61</v>
      </c>
      <c r="D36" s="12" t="s">
        <v>63</v>
      </c>
      <c r="E36" s="12">
        <v>9</v>
      </c>
      <c r="F36" s="13">
        <v>430857.33</v>
      </c>
      <c r="G36" s="14">
        <f>H36-F36</f>
        <v>18301.711547618965</v>
      </c>
      <c r="H36" s="13">
        <v>449159.04154761898</v>
      </c>
      <c r="I36" s="3" t="s">
        <v>188</v>
      </c>
    </row>
    <row r="37" spans="1:9" x14ac:dyDescent="0.3">
      <c r="A37" s="12" t="s">
        <v>40</v>
      </c>
      <c r="B37" s="12"/>
      <c r="C37" s="12" t="s">
        <v>44</v>
      </c>
      <c r="D37" s="12" t="s">
        <v>45</v>
      </c>
      <c r="E37" s="12">
        <v>10</v>
      </c>
      <c r="F37" s="13">
        <v>401979.2</v>
      </c>
      <c r="G37" s="14">
        <f>H37-F37</f>
        <v>17189.901538461563</v>
      </c>
      <c r="H37" s="13">
        <v>419169.10153846157</v>
      </c>
      <c r="I37" s="3" t="s">
        <v>175</v>
      </c>
    </row>
    <row r="38" spans="1:9" x14ac:dyDescent="0.3">
      <c r="A38" s="12" t="s">
        <v>40</v>
      </c>
      <c r="B38" s="12"/>
      <c r="C38" s="12" t="s">
        <v>52</v>
      </c>
      <c r="D38" s="12" t="s">
        <v>53</v>
      </c>
      <c r="E38" s="12">
        <v>10</v>
      </c>
      <c r="F38" s="13">
        <v>331550</v>
      </c>
      <c r="G38" s="14">
        <f>H38-F38</f>
        <v>22282.2117857142</v>
      </c>
      <c r="H38" s="13">
        <v>353832.2117857142</v>
      </c>
      <c r="I38" s="3" t="s">
        <v>181</v>
      </c>
    </row>
    <row r="39" spans="1:9" x14ac:dyDescent="0.3">
      <c r="A39" s="12" t="s">
        <v>40</v>
      </c>
      <c r="B39" s="12"/>
      <c r="C39" s="12" t="s">
        <v>59</v>
      </c>
      <c r="D39" s="12" t="s">
        <v>60</v>
      </c>
      <c r="E39" s="12">
        <v>10</v>
      </c>
      <c r="F39" s="13">
        <v>433000</v>
      </c>
      <c r="G39" s="14">
        <f>H39-F39</f>
        <v>22375.261666666775</v>
      </c>
      <c r="H39" s="13">
        <v>455375.26166666677</v>
      </c>
      <c r="I39" s="3" t="s">
        <v>186</v>
      </c>
    </row>
    <row r="40" spans="1:9" x14ac:dyDescent="0.3">
      <c r="A40" s="12" t="s">
        <v>40</v>
      </c>
      <c r="B40" s="12"/>
      <c r="C40" s="12" t="s">
        <v>55</v>
      </c>
      <c r="D40" s="12" t="s">
        <v>57</v>
      </c>
      <c r="E40" s="12">
        <v>11</v>
      </c>
      <c r="F40" s="13">
        <v>347360.89</v>
      </c>
      <c r="G40" s="14">
        <f>H40-F40</f>
        <v>23099.242619047407</v>
      </c>
      <c r="H40" s="13">
        <v>370460.13261904742</v>
      </c>
      <c r="I40" s="3" t="s">
        <v>184</v>
      </c>
    </row>
    <row r="41" spans="1:9" x14ac:dyDescent="0.3">
      <c r="A41" s="12" t="s">
        <v>40</v>
      </c>
      <c r="B41" s="12"/>
      <c r="C41" s="12" t="s">
        <v>61</v>
      </c>
      <c r="D41" s="12" t="s">
        <v>62</v>
      </c>
      <c r="E41" s="12">
        <v>11</v>
      </c>
      <c r="F41" s="13">
        <v>420603.95</v>
      </c>
      <c r="G41" s="14">
        <f>H41-F41</f>
        <v>16959.320952380775</v>
      </c>
      <c r="H41" s="13">
        <v>437563.27095238079</v>
      </c>
      <c r="I41" s="3" t="s">
        <v>187</v>
      </c>
    </row>
    <row r="42" spans="1:9" x14ac:dyDescent="0.3">
      <c r="A42" s="12" t="s">
        <v>40</v>
      </c>
      <c r="B42" s="12"/>
      <c r="C42" s="12" t="s">
        <v>44</v>
      </c>
      <c r="D42" s="12" t="s">
        <v>46</v>
      </c>
      <c r="E42" s="12">
        <v>12</v>
      </c>
      <c r="F42" s="13">
        <v>397193.73</v>
      </c>
      <c r="G42" s="14">
        <f>H42-F42</f>
        <v>17230.503461538523</v>
      </c>
      <c r="H42" s="13">
        <v>414424.2334615385</v>
      </c>
      <c r="I42" s="3" t="s">
        <v>176</v>
      </c>
    </row>
    <row r="43" spans="1:9" x14ac:dyDescent="0.3">
      <c r="A43" s="12" t="s">
        <v>40</v>
      </c>
      <c r="B43" s="12"/>
      <c r="C43" s="12" t="s">
        <v>47</v>
      </c>
      <c r="D43" s="12" t="s">
        <v>49</v>
      </c>
      <c r="E43" s="12">
        <v>13</v>
      </c>
      <c r="F43" s="13">
        <v>393268.9</v>
      </c>
      <c r="G43" s="14">
        <f>H43-F43</f>
        <v>24819.082499999669</v>
      </c>
      <c r="H43" s="13">
        <v>418087.98249999969</v>
      </c>
      <c r="I43" s="3" t="s">
        <v>178</v>
      </c>
    </row>
    <row r="44" spans="1:9" x14ac:dyDescent="0.3">
      <c r="A44" s="12" t="s">
        <v>40</v>
      </c>
      <c r="B44" s="12"/>
      <c r="C44" s="12" t="s">
        <v>55</v>
      </c>
      <c r="D44" s="12" t="s">
        <v>58</v>
      </c>
      <c r="E44" s="12">
        <v>13</v>
      </c>
      <c r="F44" s="13">
        <v>327901.11</v>
      </c>
      <c r="G44" s="14">
        <f>H44-F44</f>
        <v>34686.450357142603</v>
      </c>
      <c r="H44" s="13">
        <v>362587.56035714259</v>
      </c>
      <c r="I44" s="3" t="s">
        <v>185</v>
      </c>
    </row>
    <row r="45" spans="1:9" x14ac:dyDescent="0.3">
      <c r="A45" s="12" t="s">
        <v>40</v>
      </c>
      <c r="B45" s="12"/>
      <c r="C45" s="12" t="s">
        <v>41</v>
      </c>
      <c r="D45" s="12" t="s">
        <v>42</v>
      </c>
      <c r="E45" s="12">
        <v>15</v>
      </c>
      <c r="F45" s="13">
        <v>503842.76</v>
      </c>
      <c r="G45" s="14">
        <f>H45-F45</f>
        <v>17646.627499999711</v>
      </c>
      <c r="H45" s="13">
        <v>521489.38749999972</v>
      </c>
      <c r="I45" s="3" t="s">
        <v>173</v>
      </c>
    </row>
    <row r="46" spans="1:9" x14ac:dyDescent="0.3">
      <c r="A46" s="12" t="s">
        <v>40</v>
      </c>
      <c r="B46" s="12"/>
      <c r="C46" s="12" t="s">
        <v>51</v>
      </c>
      <c r="D46" s="12" t="s">
        <v>36</v>
      </c>
      <c r="E46" s="12">
        <v>15</v>
      </c>
      <c r="F46" s="13">
        <v>443916.56</v>
      </c>
      <c r="G46" s="14">
        <f>H46-F46</f>
        <v>17381.04249999969</v>
      </c>
      <c r="H46" s="13">
        <v>461297.60249999969</v>
      </c>
      <c r="I46" s="3" t="s">
        <v>180</v>
      </c>
    </row>
    <row r="47" spans="1:9" s="15" customFormat="1" x14ac:dyDescent="0.3">
      <c r="A47" s="12" t="s">
        <v>65</v>
      </c>
      <c r="B47" s="12" t="s">
        <v>66</v>
      </c>
      <c r="C47" s="12" t="s">
        <v>75</v>
      </c>
      <c r="D47" s="12" t="s">
        <v>77</v>
      </c>
      <c r="E47" s="12">
        <v>10</v>
      </c>
      <c r="F47" s="13">
        <v>485941.06</v>
      </c>
      <c r="G47" s="14">
        <f>H47-F47</f>
        <v>37850.054818181728</v>
      </c>
      <c r="H47" s="13">
        <v>523791.11481818173</v>
      </c>
      <c r="I47" s="12" t="s">
        <v>196</v>
      </c>
    </row>
    <row r="48" spans="1:9" s="15" customFormat="1" x14ac:dyDescent="0.3">
      <c r="A48" s="12" t="s">
        <v>65</v>
      </c>
      <c r="B48" s="12" t="s">
        <v>66</v>
      </c>
      <c r="C48" s="12" t="s">
        <v>70</v>
      </c>
      <c r="D48" s="12" t="s">
        <v>71</v>
      </c>
      <c r="E48" s="12">
        <v>11</v>
      </c>
      <c r="F48" s="13">
        <v>351195.27</v>
      </c>
      <c r="G48" s="14">
        <f>H48-F48</f>
        <v>19615.313272727071</v>
      </c>
      <c r="H48" s="13">
        <v>370810.58327272709</v>
      </c>
      <c r="I48" s="12" t="s">
        <v>192</v>
      </c>
    </row>
    <row r="49" spans="1:9" s="15" customFormat="1" x14ac:dyDescent="0.3">
      <c r="A49" s="12" t="s">
        <v>65</v>
      </c>
      <c r="B49" s="12" t="s">
        <v>66</v>
      </c>
      <c r="C49" s="12" t="s">
        <v>81</v>
      </c>
      <c r="D49" s="12" t="s">
        <v>82</v>
      </c>
      <c r="E49" s="12">
        <v>11</v>
      </c>
      <c r="F49" s="13">
        <v>405000.82</v>
      </c>
      <c r="G49" s="14">
        <f>H49-F49</f>
        <v>32504.25550116552</v>
      </c>
      <c r="H49" s="13">
        <v>437505.07550116553</v>
      </c>
      <c r="I49" s="12" t="s">
        <v>199</v>
      </c>
    </row>
    <row r="50" spans="1:9" s="15" customFormat="1" x14ac:dyDescent="0.3">
      <c r="A50" s="12" t="s">
        <v>65</v>
      </c>
      <c r="B50" s="12" t="s">
        <v>66</v>
      </c>
      <c r="C50" s="12" t="s">
        <v>67</v>
      </c>
      <c r="D50" s="12" t="s">
        <v>69</v>
      </c>
      <c r="E50" s="12">
        <v>12</v>
      </c>
      <c r="F50" s="13">
        <v>462402.62</v>
      </c>
      <c r="G50" s="14">
        <f>H50-F50</f>
        <v>34732.373181818228</v>
      </c>
      <c r="H50" s="13">
        <v>497134.99318181822</v>
      </c>
      <c r="I50" s="12" t="s">
        <v>191</v>
      </c>
    </row>
    <row r="51" spans="1:9" s="15" customFormat="1" x14ac:dyDescent="0.3">
      <c r="A51" s="12" t="s">
        <v>65</v>
      </c>
      <c r="B51" s="12" t="s">
        <v>66</v>
      </c>
      <c r="C51" s="12" t="s">
        <v>75</v>
      </c>
      <c r="D51" s="12" t="s">
        <v>76</v>
      </c>
      <c r="E51" s="12">
        <v>12</v>
      </c>
      <c r="F51" s="13">
        <v>480511.55</v>
      </c>
      <c r="G51" s="14">
        <f>H51-F51</f>
        <v>25817.739545454388</v>
      </c>
      <c r="H51" s="13">
        <v>506329.28954545438</v>
      </c>
      <c r="I51" s="12" t="s">
        <v>195</v>
      </c>
    </row>
    <row r="52" spans="1:9" s="15" customFormat="1" x14ac:dyDescent="0.3">
      <c r="A52" s="12" t="s">
        <v>65</v>
      </c>
      <c r="B52" s="12" t="s">
        <v>66</v>
      </c>
      <c r="C52" s="12" t="s">
        <v>67</v>
      </c>
      <c r="D52" s="12" t="s">
        <v>68</v>
      </c>
      <c r="E52" s="12">
        <v>2</v>
      </c>
      <c r="F52" s="13">
        <v>493083.36</v>
      </c>
      <c r="G52" s="14">
        <f>H52-F52</f>
        <v>33916.430454545538</v>
      </c>
      <c r="H52" s="13">
        <v>526999.79045454552</v>
      </c>
      <c r="I52" s="12" t="s">
        <v>190</v>
      </c>
    </row>
    <row r="53" spans="1:9" s="15" customFormat="1" x14ac:dyDescent="0.3">
      <c r="A53" s="12" t="s">
        <v>65</v>
      </c>
      <c r="B53" s="12" t="s">
        <v>66</v>
      </c>
      <c r="C53" s="12" t="s">
        <v>73</v>
      </c>
      <c r="D53" s="12" t="s">
        <v>74</v>
      </c>
      <c r="E53" s="12">
        <v>6</v>
      </c>
      <c r="F53" s="13">
        <v>654279.93999999994</v>
      </c>
      <c r="G53" s="14">
        <f>H53-F53</f>
        <v>63436.880363636534</v>
      </c>
      <c r="H53" s="13">
        <v>717716.82036363648</v>
      </c>
      <c r="I53" s="12" t="s">
        <v>194</v>
      </c>
    </row>
    <row r="54" spans="1:9" s="15" customFormat="1" x14ac:dyDescent="0.3">
      <c r="A54" s="12" t="s">
        <v>65</v>
      </c>
      <c r="B54" s="12" t="s">
        <v>66</v>
      </c>
      <c r="C54" s="12" t="s">
        <v>84</v>
      </c>
      <c r="D54" s="12" t="s">
        <v>87</v>
      </c>
      <c r="E54" s="12">
        <v>6</v>
      </c>
      <c r="F54" s="13">
        <v>519067.9</v>
      </c>
      <c r="G54" s="14">
        <f>H54-F54</f>
        <v>54781.230675990693</v>
      </c>
      <c r="H54" s="13">
        <v>573849.13067599072</v>
      </c>
      <c r="I54" s="12" t="s">
        <v>203</v>
      </c>
    </row>
    <row r="55" spans="1:9" s="15" customFormat="1" x14ac:dyDescent="0.3">
      <c r="A55" s="12" t="s">
        <v>65</v>
      </c>
      <c r="B55" s="12" t="s">
        <v>66</v>
      </c>
      <c r="C55" s="12" t="s">
        <v>84</v>
      </c>
      <c r="D55" s="12" t="s">
        <v>86</v>
      </c>
      <c r="E55" s="12">
        <v>7</v>
      </c>
      <c r="F55" s="13">
        <v>516231.46</v>
      </c>
      <c r="G55" s="14">
        <f>H55-F55</f>
        <v>53846.525780885771</v>
      </c>
      <c r="H55" s="13">
        <v>570077.98578088579</v>
      </c>
      <c r="I55" s="12" t="s">
        <v>202</v>
      </c>
    </row>
    <row r="56" spans="1:9" s="15" customFormat="1" x14ac:dyDescent="0.3">
      <c r="A56" s="12" t="s">
        <v>65</v>
      </c>
      <c r="B56" s="12" t="s">
        <v>66</v>
      </c>
      <c r="C56" s="12" t="s">
        <v>78</v>
      </c>
      <c r="D56" s="12" t="s">
        <v>80</v>
      </c>
      <c r="E56" s="12">
        <v>8</v>
      </c>
      <c r="F56" s="13">
        <v>303201.14</v>
      </c>
      <c r="G56" s="14">
        <f>H56-F56</f>
        <v>20164.335818181571</v>
      </c>
      <c r="H56" s="13">
        <v>323365.47581818159</v>
      </c>
      <c r="I56" s="12" t="s">
        <v>198</v>
      </c>
    </row>
    <row r="57" spans="1:9" s="15" customFormat="1" x14ac:dyDescent="0.3">
      <c r="A57" s="12" t="s">
        <v>65</v>
      </c>
      <c r="B57" s="12" t="s">
        <v>66</v>
      </c>
      <c r="C57" s="12" t="s">
        <v>81</v>
      </c>
      <c r="D57" s="12" t="s">
        <v>83</v>
      </c>
      <c r="E57" s="12">
        <v>8</v>
      </c>
      <c r="F57" s="13">
        <v>411498.16</v>
      </c>
      <c r="G57" s="14">
        <f>H57-F57</f>
        <v>38194.197214452201</v>
      </c>
      <c r="H57" s="13">
        <v>449692.35721445217</v>
      </c>
      <c r="I57" s="12" t="s">
        <v>200</v>
      </c>
    </row>
    <row r="58" spans="1:9" s="15" customFormat="1" x14ac:dyDescent="0.3">
      <c r="A58" s="12" t="s">
        <v>65</v>
      </c>
      <c r="B58" s="12" t="s">
        <v>66</v>
      </c>
      <c r="C58" s="12" t="s">
        <v>70</v>
      </c>
      <c r="D58" s="12" t="s">
        <v>72</v>
      </c>
      <c r="E58" s="12">
        <v>9</v>
      </c>
      <c r="F58" s="13">
        <v>354432.09</v>
      </c>
      <c r="G58" s="14">
        <f>H58-F58</f>
        <v>25004.324363636202</v>
      </c>
      <c r="H58" s="13">
        <v>379436.41436363623</v>
      </c>
      <c r="I58" s="12" t="s">
        <v>193</v>
      </c>
    </row>
    <row r="59" spans="1:9" s="15" customFormat="1" x14ac:dyDescent="0.3">
      <c r="A59" s="12" t="s">
        <v>65</v>
      </c>
      <c r="B59" s="12" t="s">
        <v>66</v>
      </c>
      <c r="C59" s="12" t="s">
        <v>78</v>
      </c>
      <c r="D59" s="12" t="s">
        <v>79</v>
      </c>
      <c r="E59" s="12">
        <v>9</v>
      </c>
      <c r="F59" s="13">
        <v>301685.13</v>
      </c>
      <c r="G59" s="14">
        <f>H59-F59</f>
        <v>12991.675272727094</v>
      </c>
      <c r="H59" s="13">
        <v>314676.8052727271</v>
      </c>
      <c r="I59" s="12" t="s">
        <v>197</v>
      </c>
    </row>
    <row r="60" spans="1:9" s="15" customFormat="1" x14ac:dyDescent="0.3">
      <c r="A60" s="12" t="s">
        <v>65</v>
      </c>
      <c r="B60" s="12" t="s">
        <v>66</v>
      </c>
      <c r="C60" s="12" t="s">
        <v>84</v>
      </c>
      <c r="D60" s="12" t="s">
        <v>85</v>
      </c>
      <c r="E60" s="12">
        <v>9</v>
      </c>
      <c r="F60" s="13">
        <v>510558.59</v>
      </c>
      <c r="G60" s="14">
        <f>H60-F60</f>
        <v>51977.105990675918</v>
      </c>
      <c r="H60" s="13">
        <v>562535.69599067594</v>
      </c>
      <c r="I60" s="12" t="s">
        <v>201</v>
      </c>
    </row>
    <row r="61" spans="1:9" s="15" customFormat="1" x14ac:dyDescent="0.3">
      <c r="A61" s="12" t="s">
        <v>65</v>
      </c>
      <c r="B61" s="12" t="s">
        <v>9</v>
      </c>
      <c r="C61" s="12" t="s">
        <v>93</v>
      </c>
      <c r="D61" s="12" t="s">
        <v>94</v>
      </c>
      <c r="E61" s="12">
        <v>10</v>
      </c>
      <c r="F61" s="13">
        <v>288718.96000000002</v>
      </c>
      <c r="G61" s="14">
        <f>H61-F61</f>
        <v>10991.364000000001</v>
      </c>
      <c r="H61" s="13">
        <v>299710.32400000002</v>
      </c>
      <c r="I61" s="12" t="s">
        <v>207</v>
      </c>
    </row>
    <row r="62" spans="1:9" s="15" customFormat="1" x14ac:dyDescent="0.3">
      <c r="A62" s="12" t="s">
        <v>65</v>
      </c>
      <c r="B62" s="12" t="s">
        <v>9</v>
      </c>
      <c r="C62" s="12" t="s">
        <v>88</v>
      </c>
      <c r="D62" s="12" t="s">
        <v>89</v>
      </c>
      <c r="E62" s="12">
        <v>12</v>
      </c>
      <c r="F62" s="13">
        <v>412557.55</v>
      </c>
      <c r="G62" s="14">
        <f>H62-F62</f>
        <v>59655.094790209725</v>
      </c>
      <c r="H62" s="13">
        <v>472212.64479020971</v>
      </c>
      <c r="I62" s="12" t="s">
        <v>204</v>
      </c>
    </row>
    <row r="63" spans="1:9" s="15" customFormat="1" x14ac:dyDescent="0.3">
      <c r="A63" s="12" t="s">
        <v>65</v>
      </c>
      <c r="B63" s="12" t="s">
        <v>9</v>
      </c>
      <c r="C63" s="12" t="s">
        <v>96</v>
      </c>
      <c r="D63" s="12" t="s">
        <v>13</v>
      </c>
      <c r="E63" s="12">
        <v>12</v>
      </c>
      <c r="F63" s="13">
        <v>310911.68</v>
      </c>
      <c r="G63" s="14">
        <f>H63-F63</f>
        <v>25900.521363636188</v>
      </c>
      <c r="H63" s="13">
        <v>336812.20136363618</v>
      </c>
      <c r="I63" s="12" t="s">
        <v>209</v>
      </c>
    </row>
    <row r="64" spans="1:9" s="15" customFormat="1" x14ac:dyDescent="0.3">
      <c r="A64" s="12" t="s">
        <v>65</v>
      </c>
      <c r="B64" s="12" t="s">
        <v>9</v>
      </c>
      <c r="C64" s="12" t="s">
        <v>100</v>
      </c>
      <c r="D64" s="12" t="s">
        <v>101</v>
      </c>
      <c r="E64" s="12">
        <v>12</v>
      </c>
      <c r="F64" s="13">
        <v>529411.77</v>
      </c>
      <c r="G64" s="14">
        <f>H64-F64</f>
        <v>34223.854545454378</v>
      </c>
      <c r="H64" s="13">
        <v>563635.6245454544</v>
      </c>
      <c r="I64" s="12" t="s">
        <v>212</v>
      </c>
    </row>
    <row r="65" spans="1:9" s="15" customFormat="1" x14ac:dyDescent="0.3">
      <c r="A65" s="12" t="s">
        <v>65</v>
      </c>
      <c r="B65" s="12" t="s">
        <v>9</v>
      </c>
      <c r="C65" s="12" t="s">
        <v>97</v>
      </c>
      <c r="D65" s="12" t="s">
        <v>98</v>
      </c>
      <c r="E65" s="12">
        <v>3</v>
      </c>
      <c r="F65" s="13">
        <v>584232.85</v>
      </c>
      <c r="G65" s="14">
        <f>H65-F65</f>
        <v>66480.541454545339</v>
      </c>
      <c r="H65" s="13">
        <v>650713.39145454532</v>
      </c>
      <c r="I65" s="12" t="s">
        <v>210</v>
      </c>
    </row>
    <row r="66" spans="1:9" s="15" customFormat="1" x14ac:dyDescent="0.3">
      <c r="A66" s="12" t="s">
        <v>65</v>
      </c>
      <c r="B66" s="12" t="s">
        <v>9</v>
      </c>
      <c r="C66" s="12" t="s">
        <v>88</v>
      </c>
      <c r="D66" s="12" t="s">
        <v>90</v>
      </c>
      <c r="E66" s="12">
        <v>5</v>
      </c>
      <c r="F66" s="13">
        <v>428873.39</v>
      </c>
      <c r="G66" s="14">
        <f>H66-F66</f>
        <v>74161.666783216759</v>
      </c>
      <c r="H66" s="13">
        <v>503035.05678321677</v>
      </c>
      <c r="I66" s="12" t="s">
        <v>205</v>
      </c>
    </row>
    <row r="67" spans="1:9" s="15" customFormat="1" x14ac:dyDescent="0.3">
      <c r="A67" s="12" t="s">
        <v>65</v>
      </c>
      <c r="B67" s="12" t="s">
        <v>9</v>
      </c>
      <c r="C67" s="12" t="s">
        <v>100</v>
      </c>
      <c r="D67" s="12" t="s">
        <v>103</v>
      </c>
      <c r="E67" s="12">
        <v>6</v>
      </c>
      <c r="F67" s="13">
        <v>577400.98</v>
      </c>
      <c r="G67" s="14">
        <f>H67-F67</f>
        <v>54326.516181818093</v>
      </c>
      <c r="H67" s="13">
        <v>631727.49618181807</v>
      </c>
      <c r="I67" s="12" t="s">
        <v>214</v>
      </c>
    </row>
    <row r="68" spans="1:9" s="15" customFormat="1" x14ac:dyDescent="0.3">
      <c r="A68" s="12" t="s">
        <v>65</v>
      </c>
      <c r="B68" s="12" t="s">
        <v>9</v>
      </c>
      <c r="C68" s="12" t="s">
        <v>97</v>
      </c>
      <c r="D68" s="12" t="s">
        <v>99</v>
      </c>
      <c r="E68" s="12">
        <v>8</v>
      </c>
      <c r="F68" s="13">
        <v>570120.93999999994</v>
      </c>
      <c r="G68" s="14">
        <f>H68-F68</f>
        <v>71095.30872727267</v>
      </c>
      <c r="H68" s="13">
        <v>641216.24872727261</v>
      </c>
      <c r="I68" s="12" t="s">
        <v>211</v>
      </c>
    </row>
    <row r="69" spans="1:9" s="15" customFormat="1" x14ac:dyDescent="0.3">
      <c r="A69" s="12" t="s">
        <v>65</v>
      </c>
      <c r="B69" s="12" t="s">
        <v>9</v>
      </c>
      <c r="C69" s="12" t="s">
        <v>100</v>
      </c>
      <c r="D69" s="12" t="s">
        <v>102</v>
      </c>
      <c r="E69" s="12">
        <v>8</v>
      </c>
      <c r="F69" s="13">
        <v>571953.80000000005</v>
      </c>
      <c r="G69" s="14">
        <f>H69-F69</f>
        <v>37076.40563636343</v>
      </c>
      <c r="H69" s="13">
        <v>609030.20563636348</v>
      </c>
      <c r="I69" s="12" t="s">
        <v>213</v>
      </c>
    </row>
    <row r="70" spans="1:9" s="15" customFormat="1" x14ac:dyDescent="0.3">
      <c r="A70" s="12" t="s">
        <v>65</v>
      </c>
      <c r="B70" s="12" t="s">
        <v>9</v>
      </c>
      <c r="C70" s="12" t="s">
        <v>91</v>
      </c>
      <c r="D70" s="12" t="s">
        <v>92</v>
      </c>
      <c r="E70" s="12">
        <v>9</v>
      </c>
      <c r="F70" s="13">
        <v>419654.87</v>
      </c>
      <c r="G70" s="14">
        <f>H70-F70</f>
        <v>51510.171620046603</v>
      </c>
      <c r="H70" s="13">
        <v>471165.0416200466</v>
      </c>
      <c r="I70" s="12" t="s">
        <v>206</v>
      </c>
    </row>
    <row r="71" spans="1:9" s="15" customFormat="1" x14ac:dyDescent="0.3">
      <c r="A71" s="12" t="s">
        <v>65</v>
      </c>
      <c r="B71" s="12" t="s">
        <v>9</v>
      </c>
      <c r="C71" s="12" t="s">
        <v>93</v>
      </c>
      <c r="D71" s="12" t="s">
        <v>95</v>
      </c>
      <c r="E71" s="12">
        <v>9</v>
      </c>
      <c r="F71" s="13">
        <v>290177.14</v>
      </c>
      <c r="G71" s="14">
        <f>H71-F71</f>
        <v>17475.471454545506</v>
      </c>
      <c r="H71" s="13">
        <v>307652.61145454552</v>
      </c>
      <c r="I71" s="12" t="s">
        <v>208</v>
      </c>
    </row>
    <row r="72" spans="1:9" s="15" customFormat="1" x14ac:dyDescent="0.3">
      <c r="A72" s="12" t="s">
        <v>104</v>
      </c>
      <c r="B72" s="12"/>
      <c r="C72" s="12" t="s">
        <v>37</v>
      </c>
      <c r="D72" s="12" t="s">
        <v>107</v>
      </c>
      <c r="E72" s="12">
        <v>4</v>
      </c>
      <c r="F72" s="13">
        <v>492332.54</v>
      </c>
      <c r="G72" s="14">
        <f>H72-F72</f>
        <v>17824.869083333237</v>
      </c>
      <c r="H72" s="13">
        <v>510157.40908333322</v>
      </c>
      <c r="I72" s="12" t="s">
        <v>224</v>
      </c>
    </row>
    <row r="73" spans="1:9" s="15" customFormat="1" x14ac:dyDescent="0.3">
      <c r="A73" s="12" t="s">
        <v>104</v>
      </c>
      <c r="B73" s="12"/>
      <c r="C73" s="12" t="s">
        <v>2</v>
      </c>
      <c r="D73" s="12" t="s">
        <v>4</v>
      </c>
      <c r="E73" s="12">
        <v>4</v>
      </c>
      <c r="F73" s="13">
        <v>473480</v>
      </c>
      <c r="G73" s="14">
        <f>H73-F73</f>
        <v>20468.438499999524</v>
      </c>
      <c r="H73" s="13">
        <v>493948.43849999952</v>
      </c>
      <c r="I73" s="12" t="s">
        <v>218</v>
      </c>
    </row>
    <row r="74" spans="1:9" s="15" customFormat="1" x14ac:dyDescent="0.3">
      <c r="A74" s="12" t="s">
        <v>104</v>
      </c>
      <c r="B74" s="12"/>
      <c r="C74" s="12" t="s">
        <v>21</v>
      </c>
      <c r="D74" s="12" t="s">
        <v>105</v>
      </c>
      <c r="E74" s="12">
        <v>5</v>
      </c>
      <c r="F74" s="13">
        <v>375062.11</v>
      </c>
      <c r="G74" s="14">
        <f>H74-F74</f>
        <v>44621.444476190314</v>
      </c>
      <c r="H74" s="13">
        <v>419683.5544761903</v>
      </c>
      <c r="I74" s="12" t="s">
        <v>217</v>
      </c>
    </row>
    <row r="75" spans="1:9" s="15" customFormat="1" x14ac:dyDescent="0.3">
      <c r="A75" s="12" t="s">
        <v>104</v>
      </c>
      <c r="B75" s="12"/>
      <c r="C75" s="12" t="s">
        <v>5</v>
      </c>
      <c r="D75" s="12" t="s">
        <v>6</v>
      </c>
      <c r="E75" s="12">
        <v>5</v>
      </c>
      <c r="F75" s="13">
        <v>332160.28999999998</v>
      </c>
      <c r="G75" s="14">
        <f>H75-F75</f>
        <v>47224.569476190431</v>
      </c>
      <c r="H75" s="13">
        <v>379384.85947619041</v>
      </c>
      <c r="I75" s="12" t="s">
        <v>222</v>
      </c>
    </row>
    <row r="76" spans="1:9" s="15" customFormat="1" x14ac:dyDescent="0.3">
      <c r="A76" s="12" t="s">
        <v>104</v>
      </c>
      <c r="B76" s="12"/>
      <c r="C76" s="12" t="s">
        <v>37</v>
      </c>
      <c r="D76" s="12" t="s">
        <v>108</v>
      </c>
      <c r="E76" s="12">
        <v>5</v>
      </c>
      <c r="F76" s="13">
        <v>490122.3</v>
      </c>
      <c r="G76" s="14">
        <f>H76-F76</f>
        <v>22374.572333333199</v>
      </c>
      <c r="H76" s="13">
        <v>512496.87233333319</v>
      </c>
      <c r="I76" s="12" t="s">
        <v>225</v>
      </c>
    </row>
    <row r="77" spans="1:9" s="15" customFormat="1" x14ac:dyDescent="0.3">
      <c r="A77" s="12" t="s">
        <v>104</v>
      </c>
      <c r="B77" s="12"/>
      <c r="C77" s="12" t="s">
        <v>2</v>
      </c>
      <c r="D77" s="12" t="s">
        <v>3</v>
      </c>
      <c r="E77" s="12">
        <v>6</v>
      </c>
      <c r="F77" s="13">
        <v>460521.6</v>
      </c>
      <c r="G77" s="14">
        <f>H77-F77</f>
        <v>24600.359499999613</v>
      </c>
      <c r="H77" s="13">
        <v>485121.95949999959</v>
      </c>
      <c r="I77" s="12" t="s">
        <v>219</v>
      </c>
    </row>
    <row r="78" spans="1:9" s="15" customFormat="1" x14ac:dyDescent="0.3">
      <c r="A78" s="12" t="s">
        <v>104</v>
      </c>
      <c r="B78" s="12"/>
      <c r="C78" s="12" t="s">
        <v>109</v>
      </c>
      <c r="D78" s="12" t="s">
        <v>111</v>
      </c>
      <c r="E78" s="12">
        <v>7</v>
      </c>
      <c r="F78" s="13">
        <v>416163.33</v>
      </c>
      <c r="G78" s="14">
        <f>H78-F78</f>
        <v>17948.81743537396</v>
      </c>
      <c r="H78" s="13">
        <v>434112.14743537398</v>
      </c>
      <c r="I78" s="12" t="s">
        <v>228</v>
      </c>
    </row>
    <row r="79" spans="1:9" s="15" customFormat="1" x14ac:dyDescent="0.3">
      <c r="A79" s="12" t="s">
        <v>104</v>
      </c>
      <c r="B79" s="12"/>
      <c r="C79" s="12" t="s">
        <v>112</v>
      </c>
      <c r="D79" s="12" t="s">
        <v>115</v>
      </c>
      <c r="E79" s="12">
        <v>7</v>
      </c>
      <c r="F79" s="13">
        <v>486064.33</v>
      </c>
      <c r="G79" s="14">
        <f>H79-F79</f>
        <v>30531.705735293857</v>
      </c>
      <c r="H79" s="13">
        <v>516596.03573529387</v>
      </c>
      <c r="I79" s="12" t="s">
        <v>231</v>
      </c>
    </row>
    <row r="80" spans="1:9" s="15" customFormat="1" x14ac:dyDescent="0.3">
      <c r="A80" s="12" t="s">
        <v>104</v>
      </c>
      <c r="B80" s="12"/>
      <c r="C80" s="12" t="s">
        <v>116</v>
      </c>
      <c r="D80" s="12" t="s">
        <v>117</v>
      </c>
      <c r="E80" s="12">
        <v>7</v>
      </c>
      <c r="F80" s="13">
        <v>440314.87</v>
      </c>
      <c r="G80" s="14">
        <f>H80-F80</f>
        <v>17820.345878787921</v>
      </c>
      <c r="H80" s="13">
        <v>458135.21587878792</v>
      </c>
      <c r="I80" s="12" t="s">
        <v>232</v>
      </c>
    </row>
    <row r="81" spans="1:9" s="15" customFormat="1" x14ac:dyDescent="0.3">
      <c r="A81" s="12" t="s">
        <v>104</v>
      </c>
      <c r="B81" s="12"/>
      <c r="C81" s="12" t="s">
        <v>21</v>
      </c>
      <c r="D81" s="12" t="s">
        <v>24</v>
      </c>
      <c r="E81" s="12">
        <v>8</v>
      </c>
      <c r="F81" s="13">
        <v>367802.84</v>
      </c>
      <c r="G81" s="14">
        <f>H81-F81</f>
        <v>33719.585119047493</v>
      </c>
      <c r="H81" s="13">
        <v>401522.42511904752</v>
      </c>
      <c r="I81" s="12" t="s">
        <v>216</v>
      </c>
    </row>
    <row r="82" spans="1:9" s="15" customFormat="1" x14ac:dyDescent="0.3">
      <c r="A82" s="12" t="s">
        <v>104</v>
      </c>
      <c r="B82" s="12"/>
      <c r="C82" s="12" t="s">
        <v>5</v>
      </c>
      <c r="D82" s="12" t="s">
        <v>29</v>
      </c>
      <c r="E82" s="12">
        <v>8</v>
      </c>
      <c r="F82" s="13">
        <v>336183.33</v>
      </c>
      <c r="G82" s="14">
        <f>H82-F82</f>
        <v>33883.310369047511</v>
      </c>
      <c r="H82" s="13">
        <v>370066.64036904753</v>
      </c>
      <c r="I82" s="12" t="s">
        <v>220</v>
      </c>
    </row>
    <row r="83" spans="1:9" s="15" customFormat="1" x14ac:dyDescent="0.3">
      <c r="A83" s="12" t="s">
        <v>104</v>
      </c>
      <c r="B83" s="12"/>
      <c r="C83" s="12" t="s">
        <v>109</v>
      </c>
      <c r="D83" s="12" t="s">
        <v>110</v>
      </c>
      <c r="E83" s="12">
        <v>8</v>
      </c>
      <c r="F83" s="13">
        <v>413388.91</v>
      </c>
      <c r="G83" s="14">
        <f>H83-F83</f>
        <v>13645.629605442111</v>
      </c>
      <c r="H83" s="13">
        <v>427034.53960544209</v>
      </c>
      <c r="I83" s="12" t="s">
        <v>227</v>
      </c>
    </row>
    <row r="84" spans="1:9" s="15" customFormat="1" x14ac:dyDescent="0.3">
      <c r="A84" s="12" t="s">
        <v>104</v>
      </c>
      <c r="B84" s="12"/>
      <c r="C84" s="12" t="s">
        <v>112</v>
      </c>
      <c r="D84" s="12" t="s">
        <v>113</v>
      </c>
      <c r="E84" s="12">
        <v>8</v>
      </c>
      <c r="F84" s="13">
        <v>483118.49</v>
      </c>
      <c r="G84" s="14">
        <f>H84-F84</f>
        <v>26348.422441176313</v>
      </c>
      <c r="H84" s="13">
        <v>509466.9124411763</v>
      </c>
      <c r="I84" s="12" t="s">
        <v>229</v>
      </c>
    </row>
    <row r="85" spans="1:9" s="15" customFormat="1" x14ac:dyDescent="0.3">
      <c r="A85" s="12" t="s">
        <v>104</v>
      </c>
      <c r="B85" s="12"/>
      <c r="C85" s="12" t="s">
        <v>37</v>
      </c>
      <c r="D85" s="12" t="s">
        <v>56</v>
      </c>
      <c r="E85" s="12">
        <v>9</v>
      </c>
      <c r="F85" s="13">
        <v>496938.89</v>
      </c>
      <c r="G85" s="14">
        <f>H85-F85</f>
        <v>24915.835333333293</v>
      </c>
      <c r="H85" s="13">
        <v>521854.72533333331</v>
      </c>
      <c r="I85" s="12" t="s">
        <v>226</v>
      </c>
    </row>
    <row r="86" spans="1:9" s="15" customFormat="1" x14ac:dyDescent="0.3">
      <c r="A86" s="12" t="s">
        <v>104</v>
      </c>
      <c r="B86" s="12"/>
      <c r="C86" s="12" t="s">
        <v>112</v>
      </c>
      <c r="D86" s="12" t="s">
        <v>114</v>
      </c>
      <c r="E86" s="12">
        <v>9</v>
      </c>
      <c r="F86" s="13">
        <v>474870.12</v>
      </c>
      <c r="G86" s="14">
        <f>H86-F86</f>
        <v>27467.669147058681</v>
      </c>
      <c r="H86" s="13">
        <v>502337.78914705868</v>
      </c>
      <c r="I86" s="12" t="s">
        <v>230</v>
      </c>
    </row>
    <row r="87" spans="1:9" s="15" customFormat="1" x14ac:dyDescent="0.3">
      <c r="A87" s="12" t="s">
        <v>104</v>
      </c>
      <c r="B87" s="12"/>
      <c r="C87" s="12" t="s">
        <v>21</v>
      </c>
      <c r="D87" s="12" t="s">
        <v>45</v>
      </c>
      <c r="E87" s="12">
        <v>10</v>
      </c>
      <c r="F87" s="13">
        <v>362963.33</v>
      </c>
      <c r="G87" s="14">
        <f>H87-F87</f>
        <v>26451.675547619001</v>
      </c>
      <c r="H87" s="13">
        <v>389415.00554761902</v>
      </c>
      <c r="I87" s="12" t="s">
        <v>215</v>
      </c>
    </row>
    <row r="88" spans="1:9" s="15" customFormat="1" x14ac:dyDescent="0.3">
      <c r="A88" s="12" t="s">
        <v>104</v>
      </c>
      <c r="B88" s="12"/>
      <c r="C88" s="12" t="s">
        <v>5</v>
      </c>
      <c r="D88" s="12" t="s">
        <v>34</v>
      </c>
      <c r="E88" s="12">
        <v>12</v>
      </c>
      <c r="F88" s="13">
        <v>322222.21999999997</v>
      </c>
      <c r="G88" s="14">
        <f>H88-F88</f>
        <v>35420.128226190456</v>
      </c>
      <c r="H88" s="13">
        <v>357642.34822619043</v>
      </c>
      <c r="I88" s="12" t="s">
        <v>221</v>
      </c>
    </row>
    <row r="89" spans="1:9" s="15" customFormat="1" x14ac:dyDescent="0.3">
      <c r="A89" s="12" t="s">
        <v>104</v>
      </c>
      <c r="B89" s="12"/>
      <c r="C89" s="12" t="s">
        <v>37</v>
      </c>
      <c r="D89" s="12" t="s">
        <v>106</v>
      </c>
      <c r="E89" s="12">
        <v>16</v>
      </c>
      <c r="F89" s="13">
        <v>521951.11</v>
      </c>
      <c r="G89" s="14">
        <f>H89-F89</f>
        <v>16279.858083333471</v>
      </c>
      <c r="H89" s="13">
        <v>538230.96808333346</v>
      </c>
      <c r="I89" s="12" t="s">
        <v>223</v>
      </c>
    </row>
    <row r="90" spans="1:9" x14ac:dyDescent="0.3">
      <c r="A90" s="3" t="s">
        <v>118</v>
      </c>
      <c r="B90" s="3"/>
      <c r="C90" s="3" t="s">
        <v>139</v>
      </c>
      <c r="D90" s="3" t="s">
        <v>140</v>
      </c>
      <c r="E90" s="3">
        <v>3</v>
      </c>
      <c r="F90" s="5">
        <v>498000</v>
      </c>
      <c r="G90" s="4">
        <f>H90-F90</f>
        <v>21870.587595237826</v>
      </c>
      <c r="H90" s="5">
        <v>519870.58759523783</v>
      </c>
      <c r="I90" s="3" t="s">
        <v>260</v>
      </c>
    </row>
    <row r="91" spans="1:9" x14ac:dyDescent="0.3">
      <c r="A91" s="3" t="s">
        <v>118</v>
      </c>
      <c r="B91" s="3"/>
      <c r="C91" s="3" t="s">
        <v>119</v>
      </c>
      <c r="D91" s="3" t="s">
        <v>121</v>
      </c>
      <c r="E91" s="3">
        <v>4</v>
      </c>
      <c r="F91" s="5">
        <v>414966.67</v>
      </c>
      <c r="G91" s="4">
        <f>H91-F91</f>
        <v>17298.989455882343</v>
      </c>
      <c r="H91" s="5">
        <v>432265.65945588233</v>
      </c>
      <c r="I91" s="3" t="s">
        <v>234</v>
      </c>
    </row>
    <row r="92" spans="1:9" x14ac:dyDescent="0.3">
      <c r="A92" s="3" t="s">
        <v>118</v>
      </c>
      <c r="B92" s="3"/>
      <c r="C92" s="3" t="s">
        <v>125</v>
      </c>
      <c r="D92" s="3" t="s">
        <v>126</v>
      </c>
      <c r="E92" s="3">
        <v>4</v>
      </c>
      <c r="F92" s="5">
        <v>578032.22</v>
      </c>
      <c r="G92" s="4">
        <f>H92-F92</f>
        <v>24742.890678571421</v>
      </c>
      <c r="H92" s="5">
        <v>602775.11067857139</v>
      </c>
      <c r="I92" s="3" t="s">
        <v>239</v>
      </c>
    </row>
    <row r="93" spans="1:9" x14ac:dyDescent="0.3">
      <c r="A93" s="3" t="s">
        <v>118</v>
      </c>
      <c r="B93" s="3"/>
      <c r="C93" s="3" t="s">
        <v>131</v>
      </c>
      <c r="D93" s="3" t="s">
        <v>107</v>
      </c>
      <c r="E93" s="3">
        <v>4</v>
      </c>
      <c r="F93" s="5">
        <v>464000</v>
      </c>
      <c r="G93" s="4">
        <f>H93-F93</f>
        <v>37337.80085714272</v>
      </c>
      <c r="H93" s="5">
        <v>501337.80085714272</v>
      </c>
      <c r="I93" s="3" t="s">
        <v>248</v>
      </c>
    </row>
    <row r="94" spans="1:9" x14ac:dyDescent="0.3">
      <c r="A94" s="3" t="s">
        <v>118</v>
      </c>
      <c r="B94" s="3"/>
      <c r="C94" s="3" t="s">
        <v>119</v>
      </c>
      <c r="D94" s="3" t="s">
        <v>124</v>
      </c>
      <c r="E94" s="3">
        <v>5</v>
      </c>
      <c r="F94" s="5">
        <v>394555.56</v>
      </c>
      <c r="G94" s="4">
        <f>H94-F94</f>
        <v>32267.845691176422</v>
      </c>
      <c r="H94" s="5">
        <v>426823.40569117642</v>
      </c>
      <c r="I94" s="3" t="s">
        <v>238</v>
      </c>
    </row>
    <row r="95" spans="1:9" x14ac:dyDescent="0.3">
      <c r="A95" s="3" t="s">
        <v>118</v>
      </c>
      <c r="B95" s="3"/>
      <c r="C95" s="3" t="s">
        <v>131</v>
      </c>
      <c r="D95" s="3" t="s">
        <v>108</v>
      </c>
      <c r="E95" s="3">
        <v>5</v>
      </c>
      <c r="F95" s="5">
        <v>459000</v>
      </c>
      <c r="G95" s="4">
        <f>H95-F95</f>
        <v>38273.396285714174</v>
      </c>
      <c r="H95" s="5">
        <v>497273.39628571417</v>
      </c>
      <c r="I95" s="3" t="s">
        <v>249</v>
      </c>
    </row>
    <row r="96" spans="1:9" x14ac:dyDescent="0.3">
      <c r="A96" s="3" t="s">
        <v>118</v>
      </c>
      <c r="B96" s="3"/>
      <c r="C96" s="3" t="s">
        <v>119</v>
      </c>
      <c r="D96" s="3" t="s">
        <v>120</v>
      </c>
      <c r="E96" s="3">
        <v>6</v>
      </c>
      <c r="F96" s="5">
        <v>407015.56</v>
      </c>
      <c r="G96" s="4">
        <f>H96-F96</f>
        <v>14365.591926470574</v>
      </c>
      <c r="H96" s="5">
        <v>421381.15192647057</v>
      </c>
      <c r="I96" s="3" t="s">
        <v>233</v>
      </c>
    </row>
    <row r="97" spans="1:9" x14ac:dyDescent="0.3">
      <c r="A97" s="3" t="s">
        <v>118</v>
      </c>
      <c r="B97" s="3"/>
      <c r="C97" s="3" t="s">
        <v>125</v>
      </c>
      <c r="D97" s="3" t="s">
        <v>128</v>
      </c>
      <c r="E97" s="3">
        <v>6</v>
      </c>
      <c r="F97" s="5">
        <v>543173.32999999996</v>
      </c>
      <c r="G97" s="4">
        <f>H97-F97</f>
        <v>47250.995607142919</v>
      </c>
      <c r="H97" s="5">
        <v>590424.32560714288</v>
      </c>
      <c r="I97" s="3" t="s">
        <v>242</v>
      </c>
    </row>
    <row r="98" spans="1:9" x14ac:dyDescent="0.3">
      <c r="A98" s="3" t="s">
        <v>118</v>
      </c>
      <c r="B98" s="3"/>
      <c r="C98" s="3" t="s">
        <v>131</v>
      </c>
      <c r="D98" s="3" t="s">
        <v>54</v>
      </c>
      <c r="E98" s="3">
        <v>6</v>
      </c>
      <c r="F98" s="5">
        <v>453000</v>
      </c>
      <c r="G98" s="4">
        <f>H98-F98</f>
        <v>40208.991714285628</v>
      </c>
      <c r="H98" s="5">
        <v>493208.99171428563</v>
      </c>
      <c r="I98" s="3" t="s">
        <v>251</v>
      </c>
    </row>
    <row r="99" spans="1:9" x14ac:dyDescent="0.3">
      <c r="A99" s="3" t="s">
        <v>118</v>
      </c>
      <c r="B99" s="3"/>
      <c r="C99" s="3" t="s">
        <v>132</v>
      </c>
      <c r="D99" s="3" t="s">
        <v>3</v>
      </c>
      <c r="E99" s="3">
        <v>6</v>
      </c>
      <c r="F99" s="5">
        <v>397300</v>
      </c>
      <c r="G99" s="4">
        <f>H99-F99</f>
        <v>12858.655202380789</v>
      </c>
      <c r="H99" s="5">
        <v>410158.65520238079</v>
      </c>
      <c r="I99" s="3" t="s">
        <v>252</v>
      </c>
    </row>
    <row r="100" spans="1:9" x14ac:dyDescent="0.3">
      <c r="A100" s="3" t="s">
        <v>118</v>
      </c>
      <c r="B100" s="3"/>
      <c r="C100" s="3" t="s">
        <v>135</v>
      </c>
      <c r="D100" s="3" t="s">
        <v>136</v>
      </c>
      <c r="E100" s="3">
        <v>6</v>
      </c>
      <c r="F100" s="5">
        <v>355555.56</v>
      </c>
      <c r="G100" s="4">
        <f>H100-F100</f>
        <v>15452.625058823323</v>
      </c>
      <c r="H100" s="5">
        <v>371008.18505882332</v>
      </c>
      <c r="I100" s="3" t="s">
        <v>257</v>
      </c>
    </row>
    <row r="101" spans="1:9" x14ac:dyDescent="0.3">
      <c r="A101" s="3" t="s">
        <v>118</v>
      </c>
      <c r="B101" s="3"/>
      <c r="C101" s="3" t="s">
        <v>119</v>
      </c>
      <c r="D101" s="3" t="s">
        <v>43</v>
      </c>
      <c r="E101" s="3">
        <v>7</v>
      </c>
      <c r="F101" s="5">
        <v>396400</v>
      </c>
      <c r="G101" s="4">
        <f>H101-F101</f>
        <v>19538.898161764722</v>
      </c>
      <c r="H101" s="5">
        <v>415938.89816176472</v>
      </c>
      <c r="I101" s="3" t="s">
        <v>237</v>
      </c>
    </row>
    <row r="102" spans="1:9" x14ac:dyDescent="0.3">
      <c r="A102" s="3" t="s">
        <v>118</v>
      </c>
      <c r="B102" s="3"/>
      <c r="C102" s="3" t="s">
        <v>125</v>
      </c>
      <c r="D102" s="3" t="s">
        <v>127</v>
      </c>
      <c r="E102" s="3">
        <v>7</v>
      </c>
      <c r="F102" s="5">
        <v>542391.11</v>
      </c>
      <c r="G102" s="4">
        <f>H102-F102</f>
        <v>41857.823071428575</v>
      </c>
      <c r="H102" s="5">
        <v>584248.93307142856</v>
      </c>
      <c r="I102" s="3" t="s">
        <v>241</v>
      </c>
    </row>
    <row r="103" spans="1:9" x14ac:dyDescent="0.3">
      <c r="A103" s="3" t="s">
        <v>118</v>
      </c>
      <c r="B103" s="3"/>
      <c r="C103" s="3" t="s">
        <v>129</v>
      </c>
      <c r="D103" s="3" t="s">
        <v>30</v>
      </c>
      <c r="E103" s="3">
        <v>7</v>
      </c>
      <c r="F103" s="5">
        <v>401000</v>
      </c>
      <c r="G103" s="4">
        <f>H103-F103</f>
        <v>57055.314712210791</v>
      </c>
      <c r="H103" s="5">
        <v>458055.31471221079</v>
      </c>
      <c r="I103" s="3" t="s">
        <v>246</v>
      </c>
    </row>
    <row r="104" spans="1:9" x14ac:dyDescent="0.3">
      <c r="A104" s="3" t="s">
        <v>118</v>
      </c>
      <c r="B104" s="3"/>
      <c r="C104" s="3" t="s">
        <v>119</v>
      </c>
      <c r="D104" s="3" t="s">
        <v>123</v>
      </c>
      <c r="E104" s="3">
        <v>8</v>
      </c>
      <c r="F104" s="5">
        <v>391800</v>
      </c>
      <c r="G104" s="4">
        <f>H104-F104</f>
        <v>18696.644397058815</v>
      </c>
      <c r="H104" s="5">
        <v>410496.64439705882</v>
      </c>
      <c r="I104" s="3" t="s">
        <v>236</v>
      </c>
    </row>
    <row r="105" spans="1:9" x14ac:dyDescent="0.3">
      <c r="A105" s="3" t="s">
        <v>118</v>
      </c>
      <c r="B105" s="3"/>
      <c r="C105" s="3" t="s">
        <v>125</v>
      </c>
      <c r="D105" s="3" t="s">
        <v>24</v>
      </c>
      <c r="E105" s="3">
        <v>8</v>
      </c>
      <c r="F105" s="5">
        <v>524300</v>
      </c>
      <c r="G105" s="4">
        <f>H105-F105</f>
        <v>53773.540535714244</v>
      </c>
      <c r="H105" s="5">
        <v>578073.54053571424</v>
      </c>
      <c r="I105" s="3" t="s">
        <v>244</v>
      </c>
    </row>
    <row r="106" spans="1:9" x14ac:dyDescent="0.3">
      <c r="A106" s="3" t="s">
        <v>118</v>
      </c>
      <c r="B106" s="3"/>
      <c r="C106" s="3" t="s">
        <v>132</v>
      </c>
      <c r="D106" s="3" t="s">
        <v>133</v>
      </c>
      <c r="E106" s="3">
        <v>8</v>
      </c>
      <c r="F106" s="5">
        <v>386324.44</v>
      </c>
      <c r="G106" s="4">
        <f>H106-F106</f>
        <v>13222.222845237993</v>
      </c>
      <c r="H106" s="5">
        <v>399546.662845238</v>
      </c>
      <c r="I106" s="3" t="s">
        <v>253</v>
      </c>
    </row>
    <row r="107" spans="1:9" x14ac:dyDescent="0.3">
      <c r="A107" s="3" t="s">
        <v>118</v>
      </c>
      <c r="B107" s="3"/>
      <c r="C107" s="3" t="s">
        <v>135</v>
      </c>
      <c r="D107" s="3" t="s">
        <v>110</v>
      </c>
      <c r="E107" s="3">
        <v>8</v>
      </c>
      <c r="F107" s="5">
        <v>350000</v>
      </c>
      <c r="G107" s="4">
        <f>H107-F107</f>
        <v>10847.357882352779</v>
      </c>
      <c r="H107" s="5">
        <v>360847.35788235278</v>
      </c>
      <c r="I107" s="3" t="s">
        <v>256</v>
      </c>
    </row>
    <row r="108" spans="1:9" x14ac:dyDescent="0.3">
      <c r="A108" s="3" t="s">
        <v>118</v>
      </c>
      <c r="B108" s="3"/>
      <c r="C108" s="3" t="s">
        <v>131</v>
      </c>
      <c r="D108" s="3" t="s">
        <v>56</v>
      </c>
      <c r="E108" s="3">
        <v>9</v>
      </c>
      <c r="F108" s="5">
        <v>442000</v>
      </c>
      <c r="G108" s="4">
        <f>H108-F108</f>
        <v>39015.777999999875</v>
      </c>
      <c r="H108" s="5">
        <v>481015.77799999987</v>
      </c>
      <c r="I108" s="3" t="s">
        <v>250</v>
      </c>
    </row>
    <row r="109" spans="1:9" x14ac:dyDescent="0.3">
      <c r="A109" s="3" t="s">
        <v>118</v>
      </c>
      <c r="B109" s="3"/>
      <c r="C109" s="3" t="s">
        <v>125</v>
      </c>
      <c r="D109" s="3" t="s">
        <v>45</v>
      </c>
      <c r="E109" s="3">
        <v>10</v>
      </c>
      <c r="F109" s="5">
        <v>539017.78</v>
      </c>
      <c r="G109" s="4">
        <f>H109-F109</f>
        <v>26704.975464285701</v>
      </c>
      <c r="H109" s="5">
        <v>565722.75546428573</v>
      </c>
      <c r="I109" s="3" t="s">
        <v>240</v>
      </c>
    </row>
    <row r="110" spans="1:9" x14ac:dyDescent="0.3">
      <c r="A110" s="3" t="s">
        <v>118</v>
      </c>
      <c r="B110" s="3"/>
      <c r="C110" s="3" t="s">
        <v>131</v>
      </c>
      <c r="D110" s="3" t="s">
        <v>53</v>
      </c>
      <c r="E110" s="3">
        <v>10</v>
      </c>
      <c r="F110" s="5">
        <v>454543.33</v>
      </c>
      <c r="G110" s="4">
        <f>H110-F110</f>
        <v>22408.043428571371</v>
      </c>
      <c r="H110" s="5">
        <v>476951.37342857139</v>
      </c>
      <c r="I110" s="3" t="s">
        <v>247</v>
      </c>
    </row>
    <row r="111" spans="1:9" x14ac:dyDescent="0.3">
      <c r="A111" s="3" t="s">
        <v>118</v>
      </c>
      <c r="B111" s="3"/>
      <c r="C111" s="3" t="s">
        <v>135</v>
      </c>
      <c r="D111" s="3" t="s">
        <v>137</v>
      </c>
      <c r="E111" s="3">
        <v>10</v>
      </c>
      <c r="F111" s="5">
        <v>322366.67</v>
      </c>
      <c r="G111" s="4">
        <f>H111-F111</f>
        <v>28319.860705882194</v>
      </c>
      <c r="H111" s="5">
        <v>350686.53070588218</v>
      </c>
      <c r="I111" s="3" t="s">
        <v>258</v>
      </c>
    </row>
    <row r="112" spans="1:9" x14ac:dyDescent="0.3">
      <c r="A112" s="3" t="s">
        <v>118</v>
      </c>
      <c r="B112" s="3"/>
      <c r="C112" s="3" t="s">
        <v>132</v>
      </c>
      <c r="D112" s="3" t="s">
        <v>62</v>
      </c>
      <c r="E112" s="3">
        <v>11</v>
      </c>
      <c r="F112" s="5">
        <v>356820</v>
      </c>
      <c r="G112" s="4">
        <f>H112-F112</f>
        <v>26808.674309523718</v>
      </c>
      <c r="H112" s="5">
        <v>383628.67430952372</v>
      </c>
      <c r="I112" s="3" t="s">
        <v>255</v>
      </c>
    </row>
    <row r="113" spans="1:9" x14ac:dyDescent="0.3">
      <c r="A113" s="3" t="s">
        <v>118</v>
      </c>
      <c r="B113" s="3"/>
      <c r="C113" s="3" t="s">
        <v>135</v>
      </c>
      <c r="D113" s="3" t="s">
        <v>138</v>
      </c>
      <c r="E113" s="3">
        <v>11</v>
      </c>
      <c r="F113" s="5">
        <v>316666.67</v>
      </c>
      <c r="G113" s="4">
        <f>H113-F113</f>
        <v>28939.44711764704</v>
      </c>
      <c r="H113" s="5">
        <v>345606.11711764702</v>
      </c>
      <c r="I113" s="3" t="s">
        <v>259</v>
      </c>
    </row>
    <row r="114" spans="1:9" x14ac:dyDescent="0.3">
      <c r="A114" s="3" t="s">
        <v>118</v>
      </c>
      <c r="B114" s="3"/>
      <c r="C114" s="3" t="s">
        <v>139</v>
      </c>
      <c r="D114" s="3" t="s">
        <v>142</v>
      </c>
      <c r="E114" s="3">
        <v>11</v>
      </c>
      <c r="F114" s="5">
        <v>478888.89</v>
      </c>
      <c r="G114" s="4">
        <f>H114-F114</f>
        <v>29844.619023809384</v>
      </c>
      <c r="H114" s="5">
        <v>508733.5090238094</v>
      </c>
      <c r="I114" s="3" t="s">
        <v>262</v>
      </c>
    </row>
    <row r="115" spans="1:9" x14ac:dyDescent="0.3">
      <c r="A115" s="3" t="s">
        <v>118</v>
      </c>
      <c r="B115" s="3"/>
      <c r="C115" s="3" t="s">
        <v>119</v>
      </c>
      <c r="D115" s="3" t="s">
        <v>122</v>
      </c>
      <c r="E115" s="3">
        <v>12</v>
      </c>
      <c r="F115" s="5">
        <v>372222.22</v>
      </c>
      <c r="G115" s="4">
        <f>H115-F115</f>
        <v>16505.409338235331</v>
      </c>
      <c r="H115" s="5">
        <v>388727.6293382353</v>
      </c>
      <c r="I115" s="3" t="s">
        <v>235</v>
      </c>
    </row>
    <row r="116" spans="1:9" x14ac:dyDescent="0.3">
      <c r="A116" s="3" t="s">
        <v>118</v>
      </c>
      <c r="B116" s="3"/>
      <c r="C116" s="3" t="s">
        <v>125</v>
      </c>
      <c r="D116" s="3" t="s">
        <v>46</v>
      </c>
      <c r="E116" s="3">
        <v>12</v>
      </c>
      <c r="F116" s="5">
        <v>507411.11</v>
      </c>
      <c r="G116" s="4">
        <f>H116-F116</f>
        <v>45960.86039285711</v>
      </c>
      <c r="H116" s="5">
        <v>553371.9703928571</v>
      </c>
      <c r="I116" s="3" t="s">
        <v>243</v>
      </c>
    </row>
    <row r="117" spans="1:9" x14ac:dyDescent="0.3">
      <c r="A117" s="3" t="s">
        <v>118</v>
      </c>
      <c r="B117" s="3"/>
      <c r="C117" s="3" t="s">
        <v>139</v>
      </c>
      <c r="D117" s="3" t="s">
        <v>143</v>
      </c>
      <c r="E117" s="3">
        <v>12</v>
      </c>
      <c r="F117" s="5">
        <v>450777.78</v>
      </c>
      <c r="G117" s="4">
        <f>H117-F117</f>
        <v>56563.59420238086</v>
      </c>
      <c r="H117" s="5">
        <v>507341.37420238089</v>
      </c>
      <c r="I117" s="3" t="s">
        <v>263</v>
      </c>
    </row>
    <row r="118" spans="1:9" x14ac:dyDescent="0.3">
      <c r="A118" s="3" t="s">
        <v>118</v>
      </c>
      <c r="B118" s="3"/>
      <c r="C118" s="3" t="s">
        <v>132</v>
      </c>
      <c r="D118" s="3" t="s">
        <v>134</v>
      </c>
      <c r="E118" s="3">
        <v>13</v>
      </c>
      <c r="F118" s="5">
        <v>356820</v>
      </c>
      <c r="G118" s="4">
        <f>H118-F118</f>
        <v>16196.681952380808</v>
      </c>
      <c r="H118" s="5">
        <v>373016.68195238081</v>
      </c>
      <c r="I118" s="3" t="s">
        <v>254</v>
      </c>
    </row>
    <row r="119" spans="1:9" x14ac:dyDescent="0.3">
      <c r="A119" s="3" t="s">
        <v>118</v>
      </c>
      <c r="B119" s="3"/>
      <c r="C119" s="3" t="s">
        <v>129</v>
      </c>
      <c r="D119" s="3" t="s">
        <v>130</v>
      </c>
      <c r="E119" s="3">
        <v>14</v>
      </c>
      <c r="F119" s="5">
        <v>330555.56</v>
      </c>
      <c r="G119" s="4">
        <f>H119-F119</f>
        <v>37716.258165680279</v>
      </c>
      <c r="H119" s="5">
        <v>368271.81816568028</v>
      </c>
      <c r="I119" s="3" t="s">
        <v>245</v>
      </c>
    </row>
    <row r="120" spans="1:9" x14ac:dyDescent="0.3">
      <c r="A120" s="3" t="s">
        <v>118</v>
      </c>
      <c r="B120" s="3"/>
      <c r="C120" s="3" t="s">
        <v>139</v>
      </c>
      <c r="D120" s="3" t="s">
        <v>141</v>
      </c>
      <c r="E120" s="3">
        <v>14</v>
      </c>
      <c r="F120" s="5">
        <v>475700</v>
      </c>
      <c r="G120" s="4">
        <f>H120-F120</f>
        <v>28857.10455952381</v>
      </c>
      <c r="H120" s="5">
        <v>504557.10455952381</v>
      </c>
      <c r="I120" s="3" t="s">
        <v>261</v>
      </c>
    </row>
  </sheetData>
  <sortState xmlns:xlrd2="http://schemas.microsoft.com/office/spreadsheetml/2017/richdata2" ref="A2:I120">
    <sortCondition ref="A2:A120"/>
    <sortCondition ref="D2:D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 Natale</dc:creator>
  <cp:lastModifiedBy>Diego Di Natale</cp:lastModifiedBy>
  <dcterms:created xsi:type="dcterms:W3CDTF">2025-11-26T17:18:49Z</dcterms:created>
  <dcterms:modified xsi:type="dcterms:W3CDTF">2025-11-26T21:51:40Z</dcterms:modified>
</cp:coreProperties>
</file>